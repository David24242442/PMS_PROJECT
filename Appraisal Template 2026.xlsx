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1-IT\Desktop\"/>
    </mc:Choice>
  </mc:AlternateContent>
  <bookViews>
    <workbookView xWindow="0" yWindow="0" windowWidth="22992" windowHeight="9024" tabRatio="854" firstSheet="1" activeTab="3"/>
  </bookViews>
  <sheets>
    <sheet name="Apprisal Working Sheet" sheetId="1" state="hidden" r:id="rId1"/>
    <sheet name="Start of the year Smart Goals" sheetId="4" r:id="rId2"/>
    <sheet name="Appraisal Rating" sheetId="6" r:id="rId3"/>
    <sheet name="Yearly Feedback Closer Doc. " sheetId="7" r:id="rId4"/>
  </sheets>
  <definedNames>
    <definedName name="_xlnm.Print_Area" localSheetId="2">'Appraisal Rating'!$B$2:$M$45</definedName>
    <definedName name="_xlnm.Print_Area" localSheetId="0">'Apprisal Working Sheet'!$A$1:$N$52</definedName>
    <definedName name="_xlnm.Print_Area" localSheetId="1">'Start of the year Smart Goals'!$B$2:$N$33</definedName>
  </definedNames>
  <calcPr calcId="162913"/>
</workbook>
</file>

<file path=xl/calcChain.xml><?xml version="1.0" encoding="utf-8"?>
<calcChain xmlns="http://schemas.openxmlformats.org/spreadsheetml/2006/main">
  <c r="M10" i="6" l="1"/>
  <c r="M11" i="6"/>
  <c r="M12" i="6"/>
  <c r="M9" i="6"/>
  <c r="J13" i="6" l="1"/>
  <c r="M13" i="6" l="1"/>
  <c r="J5" i="6" s="1"/>
  <c r="L12" i="1" l="1"/>
  <c r="L13" i="1"/>
  <c r="L17" i="1" s="1"/>
  <c r="J35" i="1" s="1"/>
  <c r="L14" i="1"/>
  <c r="L15" i="1"/>
  <c r="L16" i="1"/>
  <c r="J17" i="1"/>
  <c r="L21" i="1"/>
  <c r="L28" i="1"/>
  <c r="L22" i="1"/>
  <c r="L23" i="1"/>
  <c r="L24" i="1"/>
  <c r="L25" i="1"/>
  <c r="L26" i="1"/>
  <c r="L27" i="1"/>
  <c r="K6" i="6" l="1"/>
</calcChain>
</file>

<file path=xl/sharedStrings.xml><?xml version="1.0" encoding="utf-8"?>
<sst xmlns="http://schemas.openxmlformats.org/spreadsheetml/2006/main" count="226" uniqueCount="169">
  <si>
    <t>Candidate Name:</t>
  </si>
  <si>
    <t>Interview Date:</t>
  </si>
  <si>
    <t>Job Title:</t>
  </si>
  <si>
    <t>Hiring Manager:</t>
  </si>
  <si>
    <t>Department Name/Location:</t>
  </si>
  <si>
    <t>Interviewer:</t>
  </si>
  <si>
    <t>1-5 Rating</t>
  </si>
  <si>
    <t>(5 Highest)</t>
  </si>
  <si>
    <t>#1</t>
  </si>
  <si>
    <t>#2</t>
  </si>
  <si>
    <t>#3</t>
  </si>
  <si>
    <t>#4</t>
  </si>
  <si>
    <t>#5</t>
  </si>
  <si>
    <t xml:space="preserve">What impressed you the most? </t>
  </si>
  <si>
    <t xml:space="preserve">What impressed you the least? </t>
  </si>
  <si>
    <t xml:space="preserve">What questions or reservations do you have? </t>
  </si>
  <si>
    <t>OVERALL BEHAVIORAL COMPETENCY RATING</t>
  </si>
  <si>
    <t>OVERALL SKILL COMPETENCY RATING</t>
  </si>
  <si>
    <r>
      <t>Comments:</t>
    </r>
    <r>
      <rPr>
        <sz val="8"/>
        <color indexed="12"/>
        <rFont val="Arial"/>
        <family val="2"/>
      </rPr>
      <t xml:space="preserve"> </t>
    </r>
  </si>
  <si>
    <t>Comments:</t>
  </si>
  <si>
    <t xml:space="preserve">(Rate on how well they responded when asked to describe on the job examples) </t>
  </si>
  <si>
    <t>Additional Comments:</t>
  </si>
  <si>
    <t>OVERALL RATING</t>
  </si>
  <si>
    <r>
      <t xml:space="preserve">Key </t>
    </r>
    <r>
      <rPr>
        <b/>
        <i/>
        <u/>
        <sz val="11"/>
        <color indexed="10"/>
        <rFont val="Arial"/>
        <family val="2"/>
      </rPr>
      <t>Behavioral</t>
    </r>
    <r>
      <rPr>
        <b/>
        <i/>
        <sz val="11"/>
        <color indexed="10"/>
        <rFont val="Arial"/>
        <family val="2"/>
      </rPr>
      <t xml:space="preserve"> Competencies   </t>
    </r>
  </si>
  <si>
    <r>
      <t xml:space="preserve">Key </t>
    </r>
    <r>
      <rPr>
        <b/>
        <i/>
        <u/>
        <sz val="11"/>
        <color indexed="10"/>
        <rFont val="Arial"/>
        <family val="2"/>
      </rPr>
      <t>Skill</t>
    </r>
    <r>
      <rPr>
        <b/>
        <i/>
        <sz val="11"/>
        <color indexed="10"/>
        <rFont val="Arial"/>
        <family val="2"/>
      </rPr>
      <t xml:space="preserve"> Competencies   </t>
    </r>
  </si>
  <si>
    <t xml:space="preserve">(Rate on how well they responded when asked to describe how they handled on the job examples) </t>
  </si>
  <si>
    <t xml:space="preserve">[Double-click to add comments if completing on-screen] </t>
  </si>
  <si>
    <t>[Double-click to add comments if completing on-screen]</t>
  </si>
  <si>
    <t xml:space="preserve"> </t>
  </si>
  <si>
    <t xml:space="preserve">Weighted </t>
  </si>
  <si>
    <t>Score</t>
  </si>
  <si>
    <t>Ratings:</t>
  </si>
  <si>
    <t>= excellent</t>
  </si>
  <si>
    <t>= good</t>
  </si>
  <si>
    <t>= fair</t>
  </si>
  <si>
    <t>= poor</t>
  </si>
  <si>
    <t>Wts</t>
  </si>
  <si>
    <t xml:space="preserve"> Consider for Hire: </t>
  </si>
  <si>
    <t>2nd Choice:</t>
  </si>
  <si>
    <t>Not a Fit:</t>
  </si>
  <si>
    <t>HIRING RECOMMENDATION:</t>
  </si>
  <si>
    <t>Teamwork</t>
  </si>
  <si>
    <t>Customer Service / Relationship Building</t>
  </si>
  <si>
    <t>Execution / Results Driven</t>
  </si>
  <si>
    <t>Continuous Improvement in workflows / processes</t>
  </si>
  <si>
    <t>Adaptability / Flexibility</t>
  </si>
  <si>
    <t>Organization</t>
  </si>
  <si>
    <t>Communication both written and verbal</t>
  </si>
  <si>
    <t>Recruitment / Administrative activities</t>
  </si>
  <si>
    <t>#6</t>
  </si>
  <si>
    <t>Ability to conduct interviews and perform sourcing activities</t>
  </si>
  <si>
    <t>iCIMS / ATS knowledge</t>
  </si>
  <si>
    <t>Microsoft Office knowledge / Reporting</t>
  </si>
  <si>
    <t>Ability to manage multiple tasks and completing priorities with minimal supervision</t>
  </si>
  <si>
    <t>= unacceptable</t>
  </si>
  <si>
    <t xml:space="preserve">YEARLY PERFORMANCE ASSESSMENT </t>
  </si>
  <si>
    <t>Assessment Date:</t>
  </si>
  <si>
    <t>OVERALL PERFORMANCE RATING</t>
  </si>
  <si>
    <t>MY GOAL IS...</t>
  </si>
  <si>
    <t>Specific</t>
  </si>
  <si>
    <t>S</t>
  </si>
  <si>
    <t>M</t>
  </si>
  <si>
    <t>Attainable</t>
  </si>
  <si>
    <t>A</t>
  </si>
  <si>
    <t>Relevant</t>
  </si>
  <si>
    <t>R</t>
  </si>
  <si>
    <t>Time-bound</t>
  </si>
  <si>
    <t>T</t>
  </si>
  <si>
    <t>COMPLETION DATE</t>
  </si>
  <si>
    <t>Date</t>
  </si>
  <si>
    <t xml:space="preserve">Performance Key Competencies   </t>
  </si>
  <si>
    <r>
      <t>Comments:</t>
    </r>
    <r>
      <rPr>
        <sz val="10"/>
        <color indexed="12"/>
        <rFont val="Aptos Display"/>
        <family val="2"/>
      </rPr>
      <t xml:space="preserve"> </t>
    </r>
  </si>
  <si>
    <t>Self Rating</t>
  </si>
  <si>
    <t xml:space="preserve">(Rate on how well they worked during the whole year) </t>
  </si>
  <si>
    <t>What impressed you the least?  ( Area of improvement )</t>
  </si>
  <si>
    <t>4-Exceeding Expectations</t>
  </si>
  <si>
    <t>3-Meeting Expectations</t>
  </si>
  <si>
    <t>2-Partly Meeting Expectations</t>
  </si>
  <si>
    <t>1-Below Expectations</t>
  </si>
  <si>
    <t>Good Potential</t>
  </si>
  <si>
    <t>High Potential</t>
  </si>
  <si>
    <t xml:space="preserve">Performance Rating </t>
  </si>
  <si>
    <t>Potential Rating</t>
  </si>
  <si>
    <t>Low Potential</t>
  </si>
  <si>
    <t>Below Potential</t>
  </si>
  <si>
    <t>Comments</t>
  </si>
  <si>
    <t xml:space="preserve">Ready for the next position </t>
  </si>
  <si>
    <t>Ready In 2 year</t>
  </si>
  <si>
    <t>PIP</t>
  </si>
  <si>
    <t>Need to keep under observation  (Potential level is good need more training)</t>
  </si>
  <si>
    <t>YEARLY SMART GOALS SETTING</t>
  </si>
  <si>
    <t xml:space="preserve">Measurable </t>
  </si>
  <si>
    <t>B</t>
  </si>
  <si>
    <t>C</t>
  </si>
  <si>
    <t>D</t>
  </si>
  <si>
    <t>Area of Improvement in your Daily work</t>
  </si>
  <si>
    <t>E</t>
  </si>
  <si>
    <t xml:space="preserve">Name </t>
  </si>
  <si>
    <t>Division</t>
  </si>
  <si>
    <t xml:space="preserve">Position </t>
  </si>
  <si>
    <t xml:space="preserve">Q1 </t>
  </si>
  <si>
    <t>Q2</t>
  </si>
  <si>
    <t>Q3</t>
  </si>
  <si>
    <t>Q4</t>
  </si>
  <si>
    <t>Emp. Code</t>
  </si>
  <si>
    <t>Goal Achievement vs. Target</t>
  </si>
  <si>
    <t>Feedback from your Line Manager</t>
  </si>
  <si>
    <t>Next Step for Business and what you have planned to meet them</t>
  </si>
  <si>
    <t>Performance Rating</t>
  </si>
  <si>
    <t>Growth Over Last year post devaluation</t>
  </si>
  <si>
    <t>Emp. Code:</t>
  </si>
  <si>
    <t>Wts.</t>
  </si>
  <si>
    <t>Line Manager's Weighted Score</t>
  </si>
  <si>
    <t>Additional Responsibility/Initiatives Taken</t>
  </si>
  <si>
    <t>Check
 (✓)</t>
  </si>
  <si>
    <t>Target Measure</t>
  </si>
  <si>
    <t xml:space="preserve">Evidence </t>
  </si>
  <si>
    <t>End-Of-Year Review  ( Executive Summary )</t>
  </si>
  <si>
    <t>1-Below Expectations/ Unsatisfactory</t>
  </si>
  <si>
    <t>5-Out Standing / Exceptional</t>
  </si>
  <si>
    <t>1-5 Rating (5 Highest)</t>
  </si>
  <si>
    <t xml:space="preserve">Job Tittle:-   
Date:-                 </t>
  </si>
  <si>
    <t>Line Manager 
1-5 Rating
 (5 Highest)</t>
  </si>
  <si>
    <t xml:space="preserve">                           </t>
  </si>
  <si>
    <t xml:space="preserve">Line Manager Name:- 
Signature:- </t>
  </si>
  <si>
    <t>Date:</t>
  </si>
  <si>
    <t>Overall final rating:</t>
  </si>
  <si>
    <t>Line Manager's Name:</t>
  </si>
  <si>
    <t>Line Manager's Signature:</t>
  </si>
  <si>
    <t>Director's Remarks:</t>
  </si>
  <si>
    <t>Line Manager's Name &amp; Signature:</t>
  </si>
  <si>
    <t>Director's Signature:</t>
  </si>
  <si>
    <t>HOD/Functional Head's Name, Desingation &amp; Signature:</t>
  </si>
  <si>
    <t>HOD/Functional Head's Name, Designation &amp; Signature:</t>
  </si>
  <si>
    <t>HOD/Functional Head's comments:</t>
  </si>
  <si>
    <t>H626</t>
  </si>
  <si>
    <t>GODWIN AMEDZRO</t>
  </si>
  <si>
    <t>IT DEPT.</t>
  </si>
  <si>
    <t>IT SUPERVISOR</t>
  </si>
  <si>
    <t>18/03/2026</t>
  </si>
  <si>
    <t xml:space="preserve">Candidate Name:- GODWIN AMEDZRO
Signature:- </t>
  </si>
  <si>
    <t xml:space="preserve">GIVING SUPPORT TO ALL SHOPS AND OTHER END USERS </t>
  </si>
  <si>
    <t>THE SUPPORT TO ALL SHOPS AND END USERS KEEPS BUSINESS RUNNING AT THE OPTIMUM LEVEL.</t>
  </si>
  <si>
    <t>UNEXPECTED POWER SHUTDOWN,ATTENDING TO LATE CALLS IN THE NIGHT. STRONG POWER BACKUPS(UPS) ARE RECOMMENDED.</t>
  </si>
  <si>
    <t xml:space="preserve">Job Tittle:-   IT SUPPORT
Date:-    MAY,2025/2026             </t>
  </si>
  <si>
    <t>MAINTAINING AND RESTORING ALL "IT" ASSETS WITH PROPER CARE</t>
  </si>
  <si>
    <t>AMEDZRO    GODWIN</t>
  </si>
  <si>
    <t>IT SUPPORT</t>
  </si>
  <si>
    <t>IT DEPT./ HEAD OFFICE</t>
  </si>
  <si>
    <t>MR. ZAHED</t>
  </si>
  <si>
    <t>24HRS SUPPORT TO ALL SHOPS, KEEPING THE BUSINESS RUNNING ALL THE TIME WITHOUT DELAY.</t>
  </si>
  <si>
    <t>RESPONDING TO USERS WITHIN 5 MINUTES</t>
  </si>
  <si>
    <t>%90 OF ISSUES HAVE BEEN RESOLVED</t>
  </si>
  <si>
    <t>EDUCATING USERS ON SYSTEM USAGE</t>
  </si>
  <si>
    <t>DAILY REPORT</t>
  </si>
  <si>
    <t>CALL FROM SHOPS HAVE BEEN RDUCED BY %80</t>
  </si>
  <si>
    <t>%85 0F USERS HAVE BEEN EDUCATED ON SYSTEM USAGE RUDUCING WORK LOAD</t>
  </si>
  <si>
    <t>DAILY SYSTEMS CHECK</t>
  </si>
  <si>
    <t>DAILY ITEMS SYNCHRONISATION TO UPDATE PRICES</t>
  </si>
  <si>
    <t>SHOPS DOWN TIME HAVE BEEN REDUCED FROM 5 TO 2 MINUTES</t>
  </si>
  <si>
    <t>%95 OF ISSUES RESOLVED DAILY</t>
  </si>
  <si>
    <r>
      <t>GOALS</t>
    </r>
    <r>
      <rPr>
        <sz val="10"/>
        <color indexed="8"/>
        <rFont val="Aptos Display"/>
        <family val="2"/>
      </rPr>
      <t xml:space="preserve">
</t>
    </r>
    <r>
      <rPr>
        <i/>
        <sz val="10"/>
        <color indexed="8"/>
        <rFont val="Aptos Display"/>
        <family val="2"/>
      </rPr>
      <t>Be specific and concise. Include the measure and time frame.</t>
    </r>
  </si>
  <si>
    <r>
      <t>PURPOSES</t>
    </r>
    <r>
      <rPr>
        <sz val="10"/>
        <color indexed="8"/>
        <rFont val="Aptos Display"/>
        <family val="2"/>
      </rPr>
      <t xml:space="preserve">
</t>
    </r>
    <r>
      <rPr>
        <i/>
        <sz val="10"/>
        <color indexed="8"/>
        <rFont val="Aptos Display"/>
        <family val="2"/>
      </rPr>
      <t>Why is the goal relevant? What are the benefits?</t>
    </r>
  </si>
  <si>
    <r>
      <rPr>
        <b/>
        <sz val="10"/>
        <color indexed="8"/>
        <rFont val="Aptos Display"/>
        <family val="2"/>
      </rPr>
      <t>CHALLENGES</t>
    </r>
    <r>
      <rPr>
        <sz val="10"/>
        <color indexed="8"/>
        <rFont val="Aptos Display"/>
        <family val="2"/>
      </rPr>
      <t xml:space="preserve">
</t>
    </r>
    <r>
      <rPr>
        <i/>
        <sz val="10"/>
        <color indexed="8"/>
        <rFont val="Aptos Display"/>
        <family val="2"/>
      </rPr>
      <t>What are the challenges to overcome?  What resources and skills are needed?</t>
    </r>
  </si>
  <si>
    <r>
      <t>GOAL START DATE - KEY STEPS
MEASURE (Growth Over Last Year &amp; Quarters)</t>
    </r>
    <r>
      <rPr>
        <b/>
        <sz val="10"/>
        <color indexed="63"/>
        <rFont val="Aptos Display"/>
        <family val="2"/>
      </rPr>
      <t xml:space="preserve">
</t>
    </r>
    <r>
      <rPr>
        <b/>
        <i/>
        <sz val="10"/>
        <color indexed="63"/>
        <rFont val="Aptos Display"/>
        <family val="2"/>
      </rPr>
      <t>Keep a log of your progress.</t>
    </r>
  </si>
  <si>
    <t>Q</t>
  </si>
  <si>
    <t>unexpected shutdown in servers have been rudced by %85 and also users are always ready to support in troubleshootings.</t>
  </si>
  <si>
    <t>All issues reported are always resolved without a delay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</si>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</sst>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"/>
    <numFmt numFmtId="165" formatCode="[$-409]d\-mmm\-yy;@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b/>
      <sz val="8"/>
      <color indexed="10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b/>
      <i/>
      <sz val="14"/>
      <color indexed="62"/>
      <name val="Arial"/>
      <family val="2"/>
    </font>
    <font>
      <b/>
      <i/>
      <sz val="11"/>
      <color indexed="10"/>
      <name val="Arial"/>
      <family val="2"/>
    </font>
    <font>
      <b/>
      <i/>
      <u/>
      <sz val="11"/>
      <color indexed="10"/>
      <name val="Arial"/>
      <family val="2"/>
    </font>
    <font>
      <b/>
      <i/>
      <sz val="10"/>
      <color indexed="10"/>
      <name val="Arial"/>
      <family val="2"/>
    </font>
    <font>
      <b/>
      <i/>
      <sz val="12"/>
      <color indexed="10"/>
      <name val="Arial"/>
      <family val="2"/>
    </font>
    <font>
      <b/>
      <sz val="10"/>
      <color indexed="12"/>
      <name val="Webdings"/>
      <family val="1"/>
      <charset val="2"/>
    </font>
    <font>
      <b/>
      <u/>
      <sz val="10"/>
      <color indexed="10"/>
      <name val="Arial"/>
      <family val="2"/>
    </font>
    <font>
      <u/>
      <sz val="8"/>
      <name val="Arial"/>
      <family val="2"/>
    </font>
    <font>
      <b/>
      <u/>
      <sz val="10"/>
      <color indexed="10"/>
      <name val="Aptos Display"/>
      <family val="2"/>
    </font>
    <font>
      <sz val="10"/>
      <name val="Aptos Display"/>
      <family val="2"/>
    </font>
    <font>
      <b/>
      <sz val="10"/>
      <color indexed="12"/>
      <name val="Aptos Display"/>
      <family val="2"/>
    </font>
    <font>
      <sz val="9"/>
      <name val="Aptos Display"/>
      <family val="2"/>
    </font>
    <font>
      <b/>
      <sz val="10"/>
      <name val="Aptos Display"/>
      <family val="2"/>
    </font>
    <font>
      <sz val="10"/>
      <color indexed="12"/>
      <name val="Aptos Display"/>
      <family val="2"/>
    </font>
    <font>
      <sz val="11"/>
      <name val="Aptos Display"/>
      <family val="2"/>
    </font>
    <font>
      <b/>
      <i/>
      <u/>
      <sz val="10"/>
      <color indexed="12"/>
      <name val="Aptos Display"/>
      <family val="2"/>
    </font>
    <font>
      <b/>
      <i/>
      <u/>
      <sz val="12"/>
      <color indexed="12"/>
      <name val="Aptos Display"/>
      <family val="2"/>
    </font>
    <font>
      <b/>
      <sz val="10"/>
      <name val="Aptos Display"/>
    </font>
    <font>
      <sz val="10"/>
      <name val="Aptos Display"/>
    </font>
    <font>
      <b/>
      <sz val="12"/>
      <name val="Aptos Display"/>
    </font>
    <font>
      <b/>
      <sz val="10"/>
      <color indexed="8"/>
      <name val="Aptos Display"/>
      <family val="2"/>
    </font>
    <font>
      <sz val="24"/>
      <name val="Aptos Display"/>
      <family val="2"/>
    </font>
    <font>
      <b/>
      <sz val="11"/>
      <color theme="1"/>
      <name val="Aptos Display"/>
      <family val="2"/>
    </font>
    <font>
      <sz val="11"/>
      <color theme="1"/>
      <name val="Aptos Display"/>
      <family val="2"/>
    </font>
    <font>
      <sz val="10"/>
      <color theme="1"/>
      <name val="Aptos Display"/>
      <family val="2"/>
    </font>
    <font>
      <b/>
      <sz val="10"/>
      <color rgb="FF434343"/>
      <name val="Aptos Display"/>
      <family val="2"/>
    </font>
    <font>
      <sz val="12"/>
      <color theme="0"/>
      <name val="Aptos Display"/>
      <family val="2"/>
    </font>
    <font>
      <sz val="9"/>
      <color rgb="FF434343"/>
      <name val="Aptos Display"/>
      <family val="2"/>
    </font>
    <font>
      <sz val="9"/>
      <color theme="1"/>
      <name val="Aptos Display"/>
      <family val="2"/>
    </font>
    <font>
      <sz val="9"/>
      <color rgb="FF999999"/>
      <name val="Aptos Display"/>
      <family val="2"/>
    </font>
    <font>
      <b/>
      <sz val="24"/>
      <color rgb="FF434343"/>
      <name val="Aptos Display"/>
      <family val="2"/>
    </font>
    <font>
      <b/>
      <sz val="10"/>
      <color theme="1"/>
      <name val="Aptos Display"/>
      <family val="2"/>
    </font>
    <font>
      <b/>
      <i/>
      <sz val="11"/>
      <color theme="1"/>
      <name val="Aptos Display"/>
      <family val="2"/>
    </font>
    <font>
      <b/>
      <sz val="10"/>
      <color theme="0"/>
      <name val="Aptos Display"/>
      <family val="2"/>
    </font>
    <font>
      <b/>
      <i/>
      <sz val="14"/>
      <color rgb="FF0070C0"/>
      <name val="Aptos Display"/>
      <family val="2"/>
    </font>
    <font>
      <b/>
      <i/>
      <sz val="20"/>
      <color theme="0"/>
      <name val="Aptos Display"/>
      <family val="2"/>
    </font>
    <font>
      <sz val="24"/>
      <color theme="1"/>
      <name val="Aptos Display"/>
      <family val="2"/>
    </font>
    <font>
      <b/>
      <u/>
      <sz val="10"/>
      <color rgb="FF0070C0"/>
      <name val="Aptos Display"/>
    </font>
    <font>
      <sz val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434343"/>
      <name val="Aptos Display"/>
      <family val="2"/>
    </font>
    <font>
      <sz val="10"/>
      <color theme="0"/>
      <name val="Aptos Display"/>
      <family val="2"/>
    </font>
    <font>
      <sz val="10"/>
      <color indexed="8"/>
      <name val="Aptos Display"/>
      <family val="2"/>
    </font>
    <font>
      <i/>
      <sz val="10"/>
      <color indexed="8"/>
      <name val="Aptos Display"/>
      <family val="2"/>
    </font>
    <font>
      <b/>
      <sz val="10"/>
      <color indexed="63"/>
      <name val="Aptos Display"/>
      <family val="2"/>
    </font>
    <font>
      <b/>
      <i/>
      <sz val="10"/>
      <color indexed="63"/>
      <name val="Aptos Display"/>
      <family val="2"/>
    </font>
    <font>
      <b/>
      <i/>
      <sz val="20"/>
      <color rgb="FF434343"/>
      <name val="Aptos Display"/>
    </font>
    <font>
      <b/>
      <sz val="20"/>
      <name val="Aptos Display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D3CDDF"/>
        <bgColor rgb="FFD3CDDF"/>
      </patternFill>
    </fill>
    <fill>
      <patternFill patternType="solid">
        <fgColor rgb="FFD9EAD3"/>
        <bgColor rgb="FFD9EAD3"/>
      </patternFill>
    </fill>
    <fill>
      <patternFill patternType="solid">
        <fgColor rgb="FFD2E3E9"/>
        <bgColor rgb="FFD2E3E9"/>
      </patternFill>
    </fill>
    <fill>
      <patternFill patternType="solid">
        <fgColor rgb="FFC9DAEC"/>
        <bgColor rgb="FFC9DAEC"/>
      </patternFill>
    </fill>
    <fill>
      <patternFill patternType="solid">
        <fgColor rgb="FFDDC6C2"/>
        <bgColor rgb="FFDDC6C2"/>
      </patternFill>
    </fill>
    <fill>
      <patternFill patternType="solid">
        <fgColor rgb="FFF3F3F3"/>
        <bgColor rgb="FFF3F3F3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rgb="FFD9EAD3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hair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0" fontId="13" fillId="0" borderId="0"/>
    <xf numFmtId="9" fontId="4" fillId="0" borderId="0" applyFont="0" applyFill="0" applyBorder="0" applyAlignment="0" applyProtection="0"/>
  </cellStyleXfs>
  <cellXfs count="360">
    <xf numFmtId="0" fontId="0" fillId="0" borderId="0" xfId="0"/>
    <xf numFmtId="0" fontId="5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5" fillId="0" borderId="1" xfId="0" applyFont="1" applyBorder="1" applyAlignment="1">
      <alignment horizontal="center" vertical="top"/>
    </xf>
    <xf numFmtId="0" fontId="11" fillId="0" borderId="2" xfId="0" applyFont="1" applyBorder="1"/>
    <xf numFmtId="0" fontId="8" fillId="0" borderId="2" xfId="0" applyFont="1" applyBorder="1"/>
    <xf numFmtId="0" fontId="5" fillId="0" borderId="3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0" fillId="0" borderId="0" xfId="0" applyAlignment="1">
      <alignment horizontal="right" vertical="top"/>
    </xf>
    <xf numFmtId="0" fontId="11" fillId="0" borderId="0" xfId="0" applyFont="1"/>
    <xf numFmtId="0" fontId="10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13" fillId="0" borderId="0" xfId="0" applyFont="1"/>
    <xf numFmtId="2" fontId="14" fillId="0" borderId="5" xfId="0" applyNumberFormat="1" applyFont="1" applyBorder="1" applyAlignment="1">
      <alignment horizontal="center"/>
    </xf>
    <xf numFmtId="0" fontId="16" fillId="0" borderId="6" xfId="0" applyFont="1" applyBorder="1"/>
    <xf numFmtId="0" fontId="16" fillId="0" borderId="1" xfId="0" applyFont="1" applyBorder="1"/>
    <xf numFmtId="0" fontId="18" fillId="0" borderId="0" xfId="0" applyFont="1" applyAlignment="1">
      <alignment horizontal="right" vertical="top"/>
    </xf>
    <xf numFmtId="0" fontId="18" fillId="0" borderId="4" xfId="0" applyFont="1" applyBorder="1" applyAlignment="1">
      <alignment horizontal="right" vertical="top"/>
    </xf>
    <xf numFmtId="0" fontId="19" fillId="0" borderId="0" xfId="0" applyFont="1" applyAlignment="1">
      <alignment horizontal="right"/>
    </xf>
    <xf numFmtId="0" fontId="16" fillId="0" borderId="0" xfId="0" applyFont="1"/>
    <xf numFmtId="2" fontId="5" fillId="0" borderId="0" xfId="0" applyNumberFormat="1" applyFont="1"/>
    <xf numFmtId="0" fontId="5" fillId="0" borderId="5" xfId="0" applyFont="1" applyBorder="1" applyAlignment="1">
      <alignment horizontal="center"/>
    </xf>
    <xf numFmtId="2" fontId="5" fillId="0" borderId="5" xfId="0" applyNumberFormat="1" applyFont="1" applyBorder="1"/>
    <xf numFmtId="0" fontId="8" fillId="0" borderId="5" xfId="0" applyFont="1" applyBorder="1"/>
    <xf numFmtId="2" fontId="12" fillId="0" borderId="5" xfId="0" applyNumberFormat="1" applyFont="1" applyBorder="1"/>
    <xf numFmtId="0" fontId="8" fillId="0" borderId="0" xfId="0" quotePrefix="1" applyFont="1"/>
    <xf numFmtId="9" fontId="6" fillId="2" borderId="7" xfId="2" applyFont="1" applyFill="1" applyBorder="1" applyAlignment="1">
      <alignment horizontal="center" vertical="center"/>
    </xf>
    <xf numFmtId="9" fontId="12" fillId="2" borderId="5" xfId="2" applyFont="1" applyFill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20" fillId="2" borderId="5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/>
    </xf>
    <xf numFmtId="0" fontId="22" fillId="0" borderId="8" xfId="0" applyFont="1" applyBorder="1"/>
    <xf numFmtId="0" fontId="8" fillId="0" borderId="9" xfId="0" applyFont="1" applyBorder="1" applyAlignment="1">
      <alignment vertical="top" wrapText="1"/>
    </xf>
    <xf numFmtId="0" fontId="8" fillId="0" borderId="10" xfId="0" applyFont="1" applyBorder="1" applyAlignment="1">
      <alignment vertical="top" wrapText="1"/>
    </xf>
    <xf numFmtId="0" fontId="5" fillId="0" borderId="11" xfId="0" applyFont="1" applyBorder="1" applyAlignment="1">
      <alignment vertical="top"/>
    </xf>
    <xf numFmtId="0" fontId="24" fillId="0" borderId="0" xfId="0" applyFont="1"/>
    <xf numFmtId="0" fontId="24" fillId="4" borderId="12" xfId="0" applyFont="1" applyFill="1" applyBorder="1" applyAlignment="1">
      <alignment horizontal="center" vertical="center"/>
    </xf>
    <xf numFmtId="0" fontId="24" fillId="4" borderId="12" xfId="0" applyFont="1" applyFill="1" applyBorder="1"/>
    <xf numFmtId="0" fontId="27" fillId="4" borderId="12" xfId="0" applyFont="1" applyFill="1" applyBorder="1" applyAlignment="1">
      <alignment horizontal="center" vertical="top"/>
    </xf>
    <xf numFmtId="0" fontId="24" fillId="4" borderId="12" xfId="0" applyFont="1" applyFill="1" applyBorder="1" applyAlignment="1">
      <alignment horizontal="center" vertical="top" wrapText="1"/>
    </xf>
    <xf numFmtId="0" fontId="24" fillId="4" borderId="12" xfId="0" applyFont="1" applyFill="1" applyBorder="1" applyAlignment="1">
      <alignment horizontal="left"/>
    </xf>
    <xf numFmtId="0" fontId="24" fillId="4" borderId="12" xfId="0" applyFont="1" applyFill="1" applyBorder="1" applyAlignment="1">
      <alignment horizontal="left" vertical="top" wrapText="1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39" fillId="0" borderId="0" xfId="0" applyFont="1"/>
    <xf numFmtId="0" fontId="41" fillId="0" borderId="0" xfId="0" applyFont="1" applyAlignment="1">
      <alignment horizontal="left" vertical="center"/>
    </xf>
    <xf numFmtId="0" fontId="39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36" fillId="0" borderId="0" xfId="0" applyFont="1"/>
    <xf numFmtId="0" fontId="51" fillId="0" borderId="0" xfId="0" applyFont="1" applyAlignment="1">
      <alignment horizontal="left" vertical="center"/>
    </xf>
    <xf numFmtId="0" fontId="51" fillId="0" borderId="0" xfId="0" applyFont="1"/>
    <xf numFmtId="0" fontId="26" fillId="4" borderId="12" xfId="0" applyFont="1" applyFill="1" applyBorder="1" applyAlignment="1">
      <alignment horizontal="left" wrapText="1"/>
    </xf>
    <xf numFmtId="0" fontId="40" fillId="13" borderId="56" xfId="0" applyFont="1" applyFill="1" applyBorder="1" applyAlignment="1">
      <alignment horizontal="center" vertical="center" wrapText="1"/>
    </xf>
    <xf numFmtId="0" fontId="39" fillId="14" borderId="57" xfId="0" applyFont="1" applyFill="1" applyBorder="1" applyAlignment="1">
      <alignment horizontal="center" vertical="center"/>
    </xf>
    <xf numFmtId="0" fontId="39" fillId="15" borderId="57" xfId="0" applyFont="1" applyFill="1" applyBorder="1" applyAlignment="1">
      <alignment horizontal="center" vertical="center"/>
    </xf>
    <xf numFmtId="0" fontId="39" fillId="16" borderId="57" xfId="0" applyFont="1" applyFill="1" applyBorder="1" applyAlignment="1">
      <alignment horizontal="center" vertical="center"/>
    </xf>
    <xf numFmtId="0" fontId="39" fillId="17" borderId="57" xfId="0" applyFont="1" applyFill="1" applyBorder="1" applyAlignment="1">
      <alignment horizontal="center" vertical="center"/>
    </xf>
    <xf numFmtId="0" fontId="39" fillId="18" borderId="57" xfId="0" applyFont="1" applyFill="1" applyBorder="1" applyAlignment="1">
      <alignment horizontal="center" vertical="center"/>
    </xf>
    <xf numFmtId="2" fontId="27" fillId="4" borderId="12" xfId="0" applyNumberFormat="1" applyFont="1" applyFill="1" applyBorder="1"/>
    <xf numFmtId="0" fontId="33" fillId="6" borderId="12" xfId="0" applyFont="1" applyFill="1" applyBorder="1" applyAlignment="1">
      <alignment horizontal="left"/>
    </xf>
    <xf numFmtId="0" fontId="24" fillId="6" borderId="12" xfId="0" applyFont="1" applyFill="1" applyBorder="1"/>
    <xf numFmtId="0" fontId="27" fillId="5" borderId="12" xfId="0" applyFont="1" applyFill="1" applyBorder="1" applyAlignment="1">
      <alignment horizontal="left" vertical="center"/>
    </xf>
    <xf numFmtId="0" fontId="29" fillId="5" borderId="12" xfId="0" applyFont="1" applyFill="1" applyBorder="1" applyAlignment="1">
      <alignment horizontal="right" vertical="center"/>
    </xf>
    <xf numFmtId="9" fontId="37" fillId="5" borderId="12" xfId="2" applyFont="1" applyFill="1" applyBorder="1" applyAlignment="1">
      <alignment horizontal="center" vertical="center"/>
    </xf>
    <xf numFmtId="0" fontId="38" fillId="5" borderId="12" xfId="0" applyFont="1" applyFill="1" applyBorder="1" applyAlignment="1">
      <alignment horizontal="center" vertical="center"/>
    </xf>
    <xf numFmtId="2" fontId="37" fillId="5" borderId="12" xfId="0" applyNumberFormat="1" applyFont="1" applyFill="1" applyBorder="1" applyAlignment="1">
      <alignment horizontal="center" vertical="center"/>
    </xf>
    <xf numFmtId="0" fontId="30" fillId="4" borderId="12" xfId="0" applyFont="1" applyFill="1" applyBorder="1" applyAlignment="1">
      <alignment horizontal="center" vertical="center" wrapText="1"/>
    </xf>
    <xf numFmtId="0" fontId="24" fillId="0" borderId="12" xfId="0" applyFont="1" applyBorder="1"/>
    <xf numFmtId="9" fontId="32" fillId="4" borderId="12" xfId="0" applyNumberFormat="1" applyFont="1" applyFill="1" applyBorder="1" applyAlignment="1">
      <alignment horizontal="center" vertical="center"/>
    </xf>
    <xf numFmtId="0" fontId="0" fillId="4" borderId="68" xfId="0" applyFont="1" applyFill="1" applyBorder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53" fillId="0" borderId="0" xfId="0" applyFont="1"/>
    <xf numFmtId="0" fontId="55" fillId="11" borderId="19" xfId="0" applyFont="1" applyFill="1" applyBorder="1" applyAlignment="1">
      <alignment horizontal="center" vertical="center" wrapText="1"/>
    </xf>
    <xf numFmtId="0" fontId="55" fillId="11" borderId="16" xfId="0" applyFont="1" applyFill="1" applyBorder="1" applyAlignment="1">
      <alignment horizontal="center" vertical="center" wrapText="1"/>
    </xf>
    <xf numFmtId="0" fontId="55" fillId="11" borderId="20" xfId="0" applyFont="1" applyFill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6" fillId="4" borderId="19" xfId="0" applyFont="1" applyFill="1" applyBorder="1" applyAlignment="1">
      <alignment horizontal="center" vertical="center" wrapText="1"/>
    </xf>
    <xf numFmtId="0" fontId="57" fillId="0" borderId="22" xfId="0" applyFont="1" applyBorder="1"/>
    <xf numFmtId="0" fontId="58" fillId="7" borderId="17" xfId="0" applyFont="1" applyFill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3" fillId="0" borderId="67" xfId="0" applyFont="1" applyBorder="1"/>
    <xf numFmtId="0" fontId="58" fillId="8" borderId="5" xfId="0" applyFont="1" applyFill="1" applyBorder="1" applyAlignment="1">
      <alignment horizontal="center"/>
    </xf>
    <xf numFmtId="0" fontId="59" fillId="0" borderId="18" xfId="0" applyFont="1" applyBorder="1" applyAlignment="1">
      <alignment horizontal="center"/>
    </xf>
    <xf numFmtId="0" fontId="59" fillId="0" borderId="18" xfId="0" applyFont="1" applyBorder="1" applyAlignment="1">
      <alignment horizontal="center" vertical="center"/>
    </xf>
    <xf numFmtId="0" fontId="58" fillId="9" borderId="5" xfId="0" applyFont="1" applyFill="1" applyBorder="1" applyAlignment="1">
      <alignment horizontal="center"/>
    </xf>
    <xf numFmtId="0" fontId="59" fillId="0" borderId="1" xfId="0" applyFont="1" applyBorder="1" applyAlignment="1">
      <alignment horizontal="center" vertical="center"/>
    </xf>
    <xf numFmtId="0" fontId="58" fillId="10" borderId="5" xfId="0" applyFont="1" applyFill="1" applyBorder="1" applyAlignment="1">
      <alignment horizontal="center"/>
    </xf>
    <xf numFmtId="0" fontId="58" fillId="12" borderId="21" xfId="0" applyFont="1" applyFill="1" applyBorder="1" applyAlignment="1">
      <alignment horizontal="center"/>
    </xf>
    <xf numFmtId="0" fontId="59" fillId="0" borderId="17" xfId="0" applyFont="1" applyBorder="1" applyAlignment="1">
      <alignment horizontal="center"/>
    </xf>
    <xf numFmtId="0" fontId="26" fillId="4" borderId="0" xfId="0" applyFont="1" applyFill="1" applyBorder="1" applyAlignment="1">
      <alignment horizontal="left" vertical="center" wrapText="1"/>
    </xf>
    <xf numFmtId="0" fontId="24" fillId="4" borderId="0" xfId="0" applyFont="1" applyFill="1" applyBorder="1" applyAlignment="1">
      <alignment horizontal="left" vertical="center" wrapText="1"/>
    </xf>
    <xf numFmtId="0" fontId="24" fillId="4" borderId="0" xfId="0" applyFont="1" applyFill="1" applyBorder="1" applyAlignment="1">
      <alignment horizontal="left" vertical="center"/>
    </xf>
    <xf numFmtId="0" fontId="24" fillId="0" borderId="0" xfId="0" applyFont="1"/>
    <xf numFmtId="0" fontId="60" fillId="0" borderId="12" xfId="0" applyFont="1" applyBorder="1" applyAlignment="1">
      <alignment horizontal="left" vertical="top" wrapText="1"/>
    </xf>
    <xf numFmtId="0" fontId="60" fillId="0" borderId="12" xfId="0" applyFont="1" applyBorder="1" applyAlignment="1">
      <alignment horizontal="left" vertical="top"/>
    </xf>
    <xf numFmtId="0" fontId="57" fillId="0" borderId="16" xfId="0" applyFont="1" applyBorder="1" applyAlignment="1">
      <alignment horizontal="center"/>
    </xf>
    <xf numFmtId="0" fontId="2" fillId="0" borderId="67" xfId="0" applyFont="1" applyBorder="1"/>
    <xf numFmtId="0" fontId="2" fillId="0" borderId="67" xfId="0" applyFont="1" applyBorder="1" applyAlignment="1">
      <alignment wrapText="1"/>
    </xf>
    <xf numFmtId="0" fontId="32" fillId="0" borderId="11" xfId="0" applyFont="1" applyBorder="1" applyAlignment="1">
      <alignment horizontal="left" vertical="top"/>
    </xf>
    <xf numFmtId="0" fontId="32" fillId="0" borderId="9" xfId="0" applyFont="1" applyBorder="1" applyAlignment="1">
      <alignment horizontal="left" vertical="top"/>
    </xf>
    <xf numFmtId="0" fontId="32" fillId="0" borderId="10" xfId="0" applyFont="1" applyBorder="1" applyAlignment="1">
      <alignment horizontal="left" vertical="top"/>
    </xf>
    <xf numFmtId="0" fontId="24" fillId="0" borderId="11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32" fillId="0" borderId="65" xfId="0" applyFont="1" applyBorder="1" applyAlignment="1">
      <alignment horizontal="center" vertical="top"/>
    </xf>
    <xf numFmtId="0" fontId="32" fillId="0" borderId="15" xfId="0" applyFont="1" applyBorder="1" applyAlignment="1">
      <alignment horizontal="center" vertical="top"/>
    </xf>
    <xf numFmtId="0" fontId="32" fillId="0" borderId="27" xfId="0" applyFont="1" applyBorder="1" applyAlignment="1">
      <alignment horizontal="center" vertical="top"/>
    </xf>
    <xf numFmtId="0" fontId="32" fillId="0" borderId="13" xfId="0" applyFont="1" applyBorder="1" applyAlignment="1">
      <alignment horizontal="center" vertical="top"/>
    </xf>
    <xf numFmtId="0" fontId="32" fillId="0" borderId="8" xfId="0" applyFont="1" applyBorder="1" applyAlignment="1">
      <alignment horizontal="center" vertical="top"/>
    </xf>
    <xf numFmtId="0" fontId="32" fillId="0" borderId="14" xfId="0" applyFont="1" applyBorder="1" applyAlignment="1">
      <alignment horizontal="center" vertical="top"/>
    </xf>
    <xf numFmtId="0" fontId="24" fillId="0" borderId="0" xfId="0" applyFont="1" applyAlignment="1">
      <alignment horizontal="center"/>
    </xf>
    <xf numFmtId="0" fontId="27" fillId="0" borderId="29" xfId="0" applyFont="1" applyBorder="1" applyAlignment="1">
      <alignment vertical="center"/>
    </xf>
    <xf numFmtId="0" fontId="27" fillId="0" borderId="22" xfId="0" applyFont="1" applyBorder="1" applyAlignment="1">
      <alignment vertical="center"/>
    </xf>
    <xf numFmtId="0" fontId="24" fillId="0" borderId="0" xfId="0" applyFont="1"/>
    <xf numFmtId="0" fontId="1" fillId="0" borderId="67" xfId="0" applyFont="1" applyBorder="1"/>
    <xf numFmtId="0" fontId="40" fillId="0" borderId="9" xfId="0" applyFont="1" applyBorder="1" applyAlignment="1">
      <alignment horizontal="left"/>
    </xf>
    <xf numFmtId="0" fontId="27" fillId="0" borderId="0" xfId="0" applyFont="1" applyAlignment="1">
      <alignment vertical="top" wrapText="1"/>
    </xf>
    <xf numFmtId="0" fontId="40" fillId="0" borderId="9" xfId="0" applyFont="1" applyBorder="1" applyAlignment="1">
      <alignment vertical="top" wrapText="1"/>
    </xf>
    <xf numFmtId="0" fontId="40" fillId="15" borderId="38" xfId="0" applyFont="1" applyFill="1" applyBorder="1" applyAlignment="1">
      <alignment horizontal="center" vertical="center"/>
    </xf>
    <xf numFmtId="0" fontId="40" fillId="15" borderId="23" xfId="0" applyFont="1" applyFill="1" applyBorder="1" applyAlignment="1">
      <alignment horizontal="center" vertical="center" wrapText="1"/>
    </xf>
    <xf numFmtId="0" fontId="40" fillId="15" borderId="23" xfId="0" applyFont="1" applyFill="1" applyBorder="1" applyAlignment="1">
      <alignment horizontal="center" vertical="center"/>
    </xf>
    <xf numFmtId="0" fontId="40" fillId="15" borderId="23" xfId="0" applyFont="1" applyFill="1" applyBorder="1" applyAlignment="1">
      <alignment vertical="center"/>
    </xf>
    <xf numFmtId="0" fontId="61" fillId="0" borderId="14" xfId="0" applyFont="1" applyBorder="1" applyAlignment="1">
      <alignment horizontal="center" vertical="center"/>
    </xf>
    <xf numFmtId="0" fontId="40" fillId="15" borderId="39" xfId="0" applyFont="1" applyFill="1" applyBorder="1" applyAlignment="1">
      <alignment horizontal="center" vertical="center"/>
    </xf>
    <xf numFmtId="0" fontId="45" fillId="0" borderId="0" xfId="0" applyFont="1" applyAlignment="1">
      <alignment vertical="center"/>
    </xf>
    <xf numFmtId="0" fontId="24" fillId="0" borderId="0" xfId="0" applyFont="1" applyAlignment="1"/>
    <xf numFmtId="0" fontId="24" fillId="0" borderId="0" xfId="0" applyFont="1" applyAlignment="1">
      <alignment wrapText="1"/>
    </xf>
    <xf numFmtId="0" fontId="40" fillId="15" borderId="28" xfId="0" applyFont="1" applyFill="1" applyBorder="1" applyAlignment="1">
      <alignment vertical="center"/>
    </xf>
    <xf numFmtId="14" fontId="61" fillId="0" borderId="48" xfId="0" applyNumberFormat="1" applyFont="1" applyBorder="1" applyAlignment="1">
      <alignment horizontal="center" vertical="center" wrapText="1"/>
    </xf>
    <xf numFmtId="0" fontId="61" fillId="0" borderId="49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center" vertical="center" wrapText="1"/>
    </xf>
    <xf numFmtId="0" fontId="61" fillId="0" borderId="44" xfId="0" applyFont="1" applyBorder="1" applyAlignment="1">
      <alignment horizontal="center" vertical="center" wrapText="1"/>
    </xf>
    <xf numFmtId="0" fontId="61" fillId="0" borderId="49" xfId="0" applyFont="1" applyBorder="1" applyAlignment="1">
      <alignment horizontal="center" vertical="center" wrapText="1"/>
    </xf>
    <xf numFmtId="0" fontId="61" fillId="0" borderId="50" xfId="0" applyFont="1" applyBorder="1" applyAlignment="1">
      <alignment horizontal="center" vertical="center" wrapText="1"/>
    </xf>
    <xf numFmtId="0" fontId="61" fillId="0" borderId="23" xfId="0" applyFont="1" applyBorder="1" applyAlignment="1">
      <alignment horizontal="center" vertical="center" wrapText="1"/>
    </xf>
    <xf numFmtId="0" fontId="61" fillId="0" borderId="13" xfId="0" applyFont="1" applyBorder="1" applyAlignment="1">
      <alignment horizontal="center" vertical="center" wrapText="1"/>
    </xf>
    <xf numFmtId="0" fontId="61" fillId="0" borderId="10" xfId="0" applyFont="1" applyBorder="1" applyAlignment="1">
      <alignment horizontal="center" vertical="center" wrapText="1"/>
    </xf>
    <xf numFmtId="0" fontId="61" fillId="0" borderId="51" xfId="0" applyFont="1" applyBorder="1" applyAlignment="1">
      <alignment vertical="center" wrapText="1"/>
    </xf>
    <xf numFmtId="14" fontId="42" fillId="0" borderId="41" xfId="0" applyNumberFormat="1" applyFont="1" applyBorder="1" applyAlignment="1">
      <alignment horizontal="center" vertical="center" wrapText="1"/>
    </xf>
    <xf numFmtId="0" fontId="42" fillId="0" borderId="42" xfId="0" applyFont="1" applyBorder="1" applyAlignment="1">
      <alignment horizontal="center" vertical="center" wrapText="1"/>
    </xf>
    <xf numFmtId="0" fontId="42" fillId="0" borderId="43" xfId="0" applyFont="1" applyBorder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42" fillId="0" borderId="45" xfId="0" applyFont="1" applyBorder="1" applyAlignment="1">
      <alignment horizontal="center" vertical="center" wrapText="1"/>
    </xf>
    <xf numFmtId="0" fontId="42" fillId="0" borderId="40" xfId="0" applyFont="1" applyBorder="1" applyAlignment="1">
      <alignment horizontal="center" vertical="center" wrapText="1"/>
    </xf>
    <xf numFmtId="0" fontId="42" fillId="0" borderId="46" xfId="0" applyFont="1" applyBorder="1" applyAlignment="1">
      <alignment horizontal="center" vertical="center" wrapText="1"/>
    </xf>
    <xf numFmtId="0" fontId="42" fillId="0" borderId="12" xfId="0" applyFont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 wrapText="1"/>
    </xf>
    <xf numFmtId="0" fontId="42" fillId="0" borderId="47" xfId="0" applyFont="1" applyBorder="1" applyAlignment="1">
      <alignment vertical="center" wrapText="1"/>
    </xf>
    <xf numFmtId="0" fontId="44" fillId="0" borderId="0" xfId="0" applyFont="1" applyAlignment="1">
      <alignment horizontal="left" vertical="center"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8" fillId="0" borderId="12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7" fillId="0" borderId="24" xfId="0" applyFont="1" applyBorder="1" applyAlignment="1">
      <alignment horizontal="left" vertical="top" wrapText="1"/>
    </xf>
    <xf numFmtId="0" fontId="13" fillId="0" borderId="25" xfId="0" applyFont="1" applyBorder="1" applyAlignment="1">
      <alignment wrapText="1"/>
    </xf>
    <xf numFmtId="0" fontId="13" fillId="0" borderId="26" xfId="0" applyFont="1" applyBorder="1" applyAlignment="1">
      <alignment wrapText="1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164" fontId="9" fillId="3" borderId="8" xfId="0" applyNumberFormat="1" applyFont="1" applyFill="1" applyBorder="1" applyAlignment="1">
      <alignment horizontal="left"/>
    </xf>
    <xf numFmtId="0" fontId="0" fillId="0" borderId="12" xfId="0" applyBorder="1"/>
    <xf numFmtId="0" fontId="9" fillId="3" borderId="8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 shrinkToFit="1"/>
    </xf>
    <xf numFmtId="0" fontId="6" fillId="0" borderId="8" xfId="0" applyFont="1" applyBorder="1" applyAlignment="1">
      <alignment horizontal="center"/>
    </xf>
    <xf numFmtId="0" fontId="32" fillId="0" borderId="11" xfId="0" applyFont="1" applyBorder="1" applyAlignment="1">
      <alignment horizontal="left" vertical="top" wrapText="1"/>
    </xf>
    <xf numFmtId="0" fontId="32" fillId="0" borderId="9" xfId="0" applyFont="1" applyBorder="1" applyAlignment="1">
      <alignment horizontal="left" vertical="top" wrapText="1"/>
    </xf>
    <xf numFmtId="0" fontId="32" fillId="0" borderId="10" xfId="0" applyFont="1" applyBorder="1" applyAlignment="1">
      <alignment horizontal="left" vertical="top" wrapText="1"/>
    </xf>
    <xf numFmtId="0" fontId="24" fillId="0" borderId="11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32" fillId="0" borderId="12" xfId="0" applyFont="1" applyBorder="1" applyAlignment="1">
      <alignment horizontal="left" vertical="top" wrapText="1"/>
    </xf>
    <xf numFmtId="0" fontId="40" fillId="0" borderId="11" xfId="0" applyFont="1" applyBorder="1" applyAlignment="1">
      <alignment horizontal="left" vertical="top" wrapText="1"/>
    </xf>
    <xf numFmtId="0" fontId="40" fillId="0" borderId="9" xfId="0" applyFont="1" applyBorder="1" applyAlignment="1">
      <alignment horizontal="left" vertical="top" wrapText="1"/>
    </xf>
    <xf numFmtId="0" fontId="40" fillId="0" borderId="10" xfId="0" applyFont="1" applyBorder="1" applyAlignment="1">
      <alignment horizontal="left" vertical="top" wrapText="1"/>
    </xf>
    <xf numFmtId="0" fontId="39" fillId="19" borderId="52" xfId="0" applyFont="1" applyFill="1" applyBorder="1" applyAlignment="1">
      <alignment horizontal="center" vertical="center"/>
    </xf>
    <xf numFmtId="0" fontId="39" fillId="19" borderId="46" xfId="0" applyFont="1" applyFill="1" applyBorder="1" applyAlignment="1">
      <alignment horizontal="center" vertical="center"/>
    </xf>
    <xf numFmtId="0" fontId="39" fillId="19" borderId="45" xfId="0" applyFont="1" applyFill="1" applyBorder="1" applyAlignment="1">
      <alignment horizontal="center" vertical="center"/>
    </xf>
    <xf numFmtId="0" fontId="46" fillId="9" borderId="16" xfId="0" applyFont="1" applyFill="1" applyBorder="1" applyAlignment="1">
      <alignment horizontal="center" vertical="center"/>
    </xf>
    <xf numFmtId="0" fontId="46" fillId="25" borderId="16" xfId="0" applyFont="1" applyFill="1" applyBorder="1" applyAlignment="1">
      <alignment horizontal="center" vertical="center"/>
    </xf>
    <xf numFmtId="0" fontId="46" fillId="25" borderId="20" xfId="0" applyFont="1" applyFill="1" applyBorder="1" applyAlignment="1">
      <alignment horizontal="center" vertical="center"/>
    </xf>
    <xf numFmtId="14" fontId="67" fillId="0" borderId="53" xfId="0" applyNumberFormat="1" applyFont="1" applyBorder="1" applyAlignment="1">
      <alignment horizontal="center" vertical="center" wrapText="1"/>
    </xf>
    <xf numFmtId="0" fontId="68" fillId="0" borderId="0" xfId="0" applyFont="1"/>
    <xf numFmtId="0" fontId="68" fillId="0" borderId="31" xfId="0" applyFont="1" applyBorder="1"/>
    <xf numFmtId="0" fontId="68" fillId="0" borderId="59" xfId="0" applyFont="1" applyBorder="1"/>
    <xf numFmtId="0" fontId="68" fillId="0" borderId="25" xfId="0" applyFont="1" applyBorder="1"/>
    <xf numFmtId="0" fontId="68" fillId="0" borderId="37" xfId="0" applyFont="1" applyBorder="1"/>
    <xf numFmtId="0" fontId="32" fillId="0" borderId="11" xfId="0" applyFont="1" applyBorder="1" applyAlignment="1">
      <alignment horizontal="left" vertical="top"/>
    </xf>
    <xf numFmtId="0" fontId="32" fillId="0" borderId="9" xfId="0" applyFont="1" applyBorder="1" applyAlignment="1">
      <alignment horizontal="left" vertical="top"/>
    </xf>
    <xf numFmtId="0" fontId="32" fillId="0" borderId="10" xfId="0" applyFont="1" applyBorder="1" applyAlignment="1">
      <alignment horizontal="left" vertical="top"/>
    </xf>
    <xf numFmtId="0" fontId="48" fillId="20" borderId="11" xfId="0" applyFont="1" applyFill="1" applyBorder="1" applyAlignment="1">
      <alignment horizontal="center" vertical="center"/>
    </xf>
    <xf numFmtId="0" fontId="62" fillId="20" borderId="9" xfId="0" applyFont="1" applyFill="1" applyBorder="1"/>
    <xf numFmtId="0" fontId="62" fillId="20" borderId="15" xfId="0" applyFont="1" applyFill="1" applyBorder="1"/>
    <xf numFmtId="0" fontId="62" fillId="20" borderId="27" xfId="0" applyFont="1" applyFill="1" applyBorder="1"/>
    <xf numFmtId="0" fontId="40" fillId="0" borderId="9" xfId="0" applyFont="1" applyBorder="1" applyAlignment="1">
      <alignment horizontal="left" vertical="top"/>
    </xf>
    <xf numFmtId="0" fontId="46" fillId="23" borderId="19" xfId="0" applyFont="1" applyFill="1" applyBorder="1" applyAlignment="1">
      <alignment horizontal="center" vertical="center" wrapText="1"/>
    </xf>
    <xf numFmtId="0" fontId="46" fillId="23" borderId="16" xfId="0" applyFont="1" applyFill="1" applyBorder="1" applyAlignment="1">
      <alignment horizontal="center" vertical="center" wrapText="1"/>
    </xf>
    <xf numFmtId="0" fontId="46" fillId="24" borderId="16" xfId="0" applyFont="1" applyFill="1" applyBorder="1" applyAlignment="1">
      <alignment horizontal="center" vertical="center"/>
    </xf>
    <xf numFmtId="0" fontId="61" fillId="0" borderId="65" xfId="0" applyFont="1" applyBorder="1" applyAlignment="1">
      <alignment horizontal="center" vertical="center" wrapText="1"/>
    </xf>
    <xf numFmtId="0" fontId="61" fillId="0" borderId="15" xfId="0" applyFont="1" applyBorder="1" applyAlignment="1">
      <alignment horizontal="center" vertical="center" wrapText="1"/>
    </xf>
    <xf numFmtId="0" fontId="61" fillId="0" borderId="66" xfId="0" applyFont="1" applyBorder="1" applyAlignment="1">
      <alignment horizontal="center" vertical="center" wrapText="1"/>
    </xf>
    <xf numFmtId="0" fontId="35" fillId="14" borderId="11" xfId="0" applyFont="1" applyFill="1" applyBorder="1" applyAlignment="1">
      <alignment horizontal="center" vertical="center" wrapText="1"/>
    </xf>
    <xf numFmtId="0" fontId="35" fillId="14" borderId="9" xfId="0" applyFont="1" applyFill="1" applyBorder="1" applyAlignment="1">
      <alignment horizontal="center" vertical="center" wrapText="1"/>
    </xf>
    <xf numFmtId="0" fontId="35" fillId="14" borderId="10" xfId="0" applyFont="1" applyFill="1" applyBorder="1" applyAlignment="1">
      <alignment horizontal="center" vertical="center" wrapText="1"/>
    </xf>
    <xf numFmtId="0" fontId="35" fillId="17" borderId="61" xfId="0" applyFont="1" applyFill="1" applyBorder="1" applyAlignment="1">
      <alignment horizontal="center" vertical="center" wrapText="1"/>
    </xf>
    <xf numFmtId="0" fontId="35" fillId="17" borderId="46" xfId="0" applyFont="1" applyFill="1" applyBorder="1" applyAlignment="1">
      <alignment horizontal="center" vertical="center" wrapText="1"/>
    </xf>
    <xf numFmtId="0" fontId="35" fillId="17" borderId="45" xfId="0" applyFont="1" applyFill="1" applyBorder="1" applyAlignment="1">
      <alignment horizontal="center" vertical="center" wrapText="1"/>
    </xf>
    <xf numFmtId="0" fontId="46" fillId="16" borderId="61" xfId="0" applyFont="1" applyFill="1" applyBorder="1" applyAlignment="1">
      <alignment horizontal="center" vertical="center" wrapText="1"/>
    </xf>
    <xf numFmtId="0" fontId="46" fillId="16" borderId="46" xfId="0" applyFont="1" applyFill="1" applyBorder="1" applyAlignment="1">
      <alignment horizontal="center" vertical="center" wrapText="1"/>
    </xf>
    <xf numFmtId="0" fontId="46" fillId="16" borderId="45" xfId="0" applyFont="1" applyFill="1" applyBorder="1" applyAlignment="1">
      <alignment horizontal="center" vertical="center" wrapText="1"/>
    </xf>
    <xf numFmtId="0" fontId="61" fillId="0" borderId="62" xfId="0" applyFont="1" applyBorder="1" applyAlignment="1">
      <alignment horizontal="center" vertical="center" wrapText="1"/>
    </xf>
    <xf numFmtId="0" fontId="61" fillId="0" borderId="54" xfId="0" applyFont="1" applyBorder="1" applyAlignment="1">
      <alignment horizontal="center" vertical="center" wrapText="1"/>
    </xf>
    <xf numFmtId="0" fontId="61" fillId="0" borderId="55" xfId="0" applyFont="1" applyBorder="1" applyAlignment="1">
      <alignment horizontal="center" vertical="center" wrapText="1"/>
    </xf>
    <xf numFmtId="0" fontId="61" fillId="0" borderId="63" xfId="0" applyFont="1" applyBorder="1" applyAlignment="1">
      <alignment horizontal="center" vertical="center" wrapText="1"/>
    </xf>
    <xf numFmtId="0" fontId="61" fillId="0" borderId="50" xfId="0" applyFont="1" applyBorder="1" applyAlignment="1">
      <alignment horizontal="center" vertical="center" wrapText="1"/>
    </xf>
    <xf numFmtId="0" fontId="61" fillId="0" borderId="43" xfId="0" applyFont="1" applyBorder="1" applyAlignment="1">
      <alignment horizontal="center" vertical="center" wrapText="1"/>
    </xf>
    <xf numFmtId="0" fontId="61" fillId="0" borderId="64" xfId="0" applyFont="1" applyBorder="1" applyAlignment="1">
      <alignment horizontal="center" vertical="center" wrapText="1"/>
    </xf>
    <xf numFmtId="0" fontId="61" fillId="0" borderId="25" xfId="0" applyFont="1" applyBorder="1" applyAlignment="1">
      <alignment horizontal="center" vertical="center" wrapText="1"/>
    </xf>
    <xf numFmtId="0" fontId="61" fillId="0" borderId="60" xfId="0" applyFont="1" applyBorder="1" applyAlignment="1">
      <alignment horizontal="center" vertical="center" wrapText="1"/>
    </xf>
    <xf numFmtId="0" fontId="40" fillId="13" borderId="50" xfId="0" applyFont="1" applyFill="1" applyBorder="1" applyAlignment="1">
      <alignment horizontal="center" vertical="center"/>
    </xf>
    <xf numFmtId="0" fontId="40" fillId="13" borderId="43" xfId="0" applyFont="1" applyFill="1" applyBorder="1" applyAlignment="1">
      <alignment horizontal="center" vertical="center"/>
    </xf>
    <xf numFmtId="0" fontId="40" fillId="18" borderId="52" xfId="0" applyFont="1" applyFill="1" applyBorder="1" applyAlignment="1">
      <alignment horizontal="center" vertical="center" wrapText="1"/>
    </xf>
    <xf numFmtId="0" fontId="24" fillId="0" borderId="46" xfId="0" applyFont="1" applyBorder="1"/>
    <xf numFmtId="0" fontId="24" fillId="0" borderId="58" xfId="0" applyFont="1" applyBorder="1"/>
    <xf numFmtId="0" fontId="26" fillId="4" borderId="12" xfId="0" applyFont="1" applyFill="1" applyBorder="1" applyAlignment="1">
      <alignment horizontal="left" wrapText="1"/>
    </xf>
    <xf numFmtId="0" fontId="31" fillId="4" borderId="12" xfId="0" applyFont="1" applyFill="1" applyBorder="1" applyAlignment="1">
      <alignment horizontal="center" vertical="center" wrapText="1"/>
    </xf>
    <xf numFmtId="0" fontId="26" fillId="4" borderId="12" xfId="0" applyFont="1" applyFill="1" applyBorder="1" applyAlignment="1">
      <alignment horizontal="center" wrapText="1"/>
    </xf>
    <xf numFmtId="0" fontId="30" fillId="4" borderId="12" xfId="0" applyFont="1" applyFill="1" applyBorder="1" applyAlignment="1">
      <alignment horizontal="center" vertical="top" wrapText="1"/>
    </xf>
    <xf numFmtId="0" fontId="34" fillId="4" borderId="12" xfId="0" applyFont="1" applyFill="1" applyBorder="1" applyAlignment="1">
      <alignment horizontal="center" vertical="top" wrapText="1"/>
    </xf>
    <xf numFmtId="0" fontId="24" fillId="4" borderId="12" xfId="0" applyFont="1" applyFill="1" applyBorder="1" applyAlignment="1">
      <alignment horizontal="left" vertical="top" wrapText="1"/>
    </xf>
    <xf numFmtId="0" fontId="24" fillId="4" borderId="12" xfId="0" applyFont="1" applyFill="1" applyBorder="1" applyAlignment="1">
      <alignment horizontal="left"/>
    </xf>
    <xf numFmtId="0" fontId="27" fillId="4" borderId="12" xfId="0" applyFont="1" applyFill="1" applyBorder="1" applyAlignment="1">
      <alignment vertical="top" wrapText="1"/>
    </xf>
    <xf numFmtId="0" fontId="24" fillId="4" borderId="12" xfId="0" applyFont="1" applyFill="1" applyBorder="1" applyAlignment="1">
      <alignment vertical="top" wrapText="1"/>
    </xf>
    <xf numFmtId="0" fontId="47" fillId="5" borderId="12" xfId="0" applyFont="1" applyFill="1" applyBorder="1" applyAlignment="1">
      <alignment horizontal="center" vertical="center"/>
    </xf>
    <xf numFmtId="0" fontId="28" fillId="4" borderId="12" xfId="0" applyFont="1" applyFill="1" applyBorder="1" applyAlignment="1">
      <alignment horizontal="center" vertical="top" wrapText="1"/>
    </xf>
    <xf numFmtId="0" fontId="24" fillId="4" borderId="12" xfId="0" applyFont="1" applyFill="1" applyBorder="1" applyAlignment="1">
      <alignment horizontal="center" vertical="top" wrapText="1"/>
    </xf>
    <xf numFmtId="0" fontId="30" fillId="4" borderId="12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/>
    </xf>
    <xf numFmtId="0" fontId="26" fillId="4" borderId="12" xfId="0" applyFont="1" applyFill="1" applyBorder="1" applyAlignment="1">
      <alignment horizontal="left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left" vertical="center" wrapText="1"/>
    </xf>
    <xf numFmtId="0" fontId="27" fillId="4" borderId="12" xfId="0" applyFont="1" applyFill="1" applyBorder="1" applyAlignment="1">
      <alignment horizontal="center" vertical="center"/>
    </xf>
    <xf numFmtId="2" fontId="48" fillId="4" borderId="12" xfId="0" applyNumberFormat="1" applyFont="1" applyFill="1" applyBorder="1" applyAlignment="1">
      <alignment horizontal="center"/>
    </xf>
    <xf numFmtId="0" fontId="49" fillId="6" borderId="12" xfId="0" applyFont="1" applyFill="1" applyBorder="1" applyAlignment="1">
      <alignment horizontal="center" vertical="center"/>
    </xf>
    <xf numFmtId="0" fontId="33" fillId="6" borderId="12" xfId="0" applyFont="1" applyFill="1" applyBorder="1" applyAlignment="1">
      <alignment horizontal="center" vertical="center"/>
    </xf>
    <xf numFmtId="0" fontId="33" fillId="21" borderId="12" xfId="0" applyFont="1" applyFill="1" applyBorder="1" applyAlignment="1">
      <alignment horizontal="center" vertical="center" wrapText="1"/>
    </xf>
    <xf numFmtId="0" fontId="33" fillId="4" borderId="12" xfId="0" applyFont="1" applyFill="1" applyBorder="1" applyAlignment="1">
      <alignment vertical="top" wrapText="1"/>
    </xf>
    <xf numFmtId="0" fontId="25" fillId="4" borderId="11" xfId="0" applyFont="1" applyFill="1" applyBorder="1" applyAlignment="1">
      <alignment horizontal="center"/>
    </xf>
    <xf numFmtId="0" fontId="25" fillId="4" borderId="10" xfId="0" applyFont="1" applyFill="1" applyBorder="1" applyAlignment="1">
      <alignment horizontal="center"/>
    </xf>
    <xf numFmtId="0" fontId="32" fillId="4" borderId="12" xfId="0" applyFont="1" applyFill="1" applyBorder="1" applyAlignment="1">
      <alignment horizontal="left" vertical="center" wrapText="1"/>
    </xf>
    <xf numFmtId="0" fontId="33" fillId="6" borderId="12" xfId="0" applyFont="1" applyFill="1" applyBorder="1" applyAlignment="1">
      <alignment horizontal="center" vertical="center" wrapText="1"/>
    </xf>
    <xf numFmtId="2" fontId="33" fillId="6" borderId="12" xfId="0" applyNumberFormat="1" applyFont="1" applyFill="1" applyBorder="1" applyAlignment="1">
      <alignment horizontal="center" vertical="center" wrapText="1"/>
    </xf>
    <xf numFmtId="0" fontId="32" fillId="4" borderId="12" xfId="0" applyFont="1" applyFill="1" applyBorder="1" applyAlignment="1">
      <alignment horizontal="left"/>
    </xf>
    <xf numFmtId="0" fontId="50" fillId="22" borderId="12" xfId="0" applyFont="1" applyFill="1" applyBorder="1" applyAlignment="1">
      <alignment horizontal="center" vertical="center"/>
    </xf>
    <xf numFmtId="0" fontId="52" fillId="4" borderId="11" xfId="0" applyFont="1" applyFill="1" applyBorder="1" applyAlignment="1">
      <alignment horizontal="center"/>
    </xf>
    <xf numFmtId="0" fontId="23" fillId="4" borderId="9" xfId="0" applyFont="1" applyFill="1" applyBorder="1" applyAlignment="1">
      <alignment horizontal="center"/>
    </xf>
    <xf numFmtId="0" fontId="23" fillId="4" borderId="10" xfId="0" applyFont="1" applyFill="1" applyBorder="1" applyAlignment="1">
      <alignment horizontal="center"/>
    </xf>
    <xf numFmtId="0" fontId="24" fillId="4" borderId="11" xfId="0" applyFont="1" applyFill="1" applyBorder="1" applyAlignment="1">
      <alignment horizontal="center"/>
    </xf>
    <xf numFmtId="0" fontId="24" fillId="4" borderId="9" xfId="0" applyFont="1" applyFill="1" applyBorder="1" applyAlignment="1">
      <alignment horizontal="center"/>
    </xf>
    <xf numFmtId="0" fontId="24" fillId="4" borderId="10" xfId="0" applyFont="1" applyFill="1" applyBorder="1" applyAlignment="1">
      <alignment horizontal="center"/>
    </xf>
    <xf numFmtId="0" fontId="25" fillId="4" borderId="9" xfId="0" applyFont="1" applyFill="1" applyBorder="1" applyAlignment="1">
      <alignment horizontal="center"/>
    </xf>
    <xf numFmtId="165" fontId="24" fillId="4" borderId="11" xfId="0" applyNumberFormat="1" applyFont="1" applyFill="1" applyBorder="1" applyAlignment="1">
      <alignment horizontal="center"/>
    </xf>
    <xf numFmtId="165" fontId="24" fillId="4" borderId="9" xfId="0" applyNumberFormat="1" applyFont="1" applyFill="1" applyBorder="1" applyAlignment="1">
      <alignment horizontal="center"/>
    </xf>
    <xf numFmtId="165" fontId="24" fillId="4" borderId="10" xfId="0" applyNumberFormat="1" applyFont="1" applyFill="1" applyBorder="1" applyAlignment="1">
      <alignment horizontal="center"/>
    </xf>
    <xf numFmtId="2" fontId="25" fillId="4" borderId="11" xfId="0" applyNumberFormat="1" applyFont="1" applyFill="1" applyBorder="1" applyAlignment="1">
      <alignment horizontal="center" shrinkToFit="1"/>
    </xf>
    <xf numFmtId="2" fontId="25" fillId="4" borderId="9" xfId="0" applyNumberFormat="1" applyFont="1" applyFill="1" applyBorder="1" applyAlignment="1">
      <alignment horizontal="center" shrinkToFit="1"/>
    </xf>
    <xf numFmtId="2" fontId="25" fillId="4" borderId="10" xfId="0" applyNumberFormat="1" applyFont="1" applyFill="1" applyBorder="1" applyAlignment="1">
      <alignment horizontal="center" shrinkToFit="1"/>
    </xf>
    <xf numFmtId="0" fontId="27" fillId="4" borderId="11" xfId="0" applyFont="1" applyFill="1" applyBorder="1" applyAlignment="1">
      <alignment horizontal="left" vertical="center" wrapText="1"/>
    </xf>
    <xf numFmtId="0" fontId="27" fillId="4" borderId="10" xfId="0" applyFont="1" applyFill="1" applyBorder="1" applyAlignment="1">
      <alignment horizontal="left" vertical="center" wrapText="1"/>
    </xf>
    <xf numFmtId="0" fontId="27" fillId="4" borderId="11" xfId="0" applyFont="1" applyFill="1" applyBorder="1" applyAlignment="1">
      <alignment horizontal="left" vertical="top"/>
    </xf>
    <xf numFmtId="0" fontId="27" fillId="4" borderId="10" xfId="0" applyFont="1" applyFill="1" applyBorder="1" applyAlignment="1">
      <alignment horizontal="left" vertical="top"/>
    </xf>
    <xf numFmtId="0" fontId="27" fillId="4" borderId="11" xfId="0" applyFont="1" applyFill="1" applyBorder="1" applyAlignment="1">
      <alignment horizontal="left"/>
    </xf>
    <xf numFmtId="0" fontId="27" fillId="4" borderId="10" xfId="0" applyFont="1" applyFill="1" applyBorder="1" applyAlignment="1">
      <alignment horizontal="left"/>
    </xf>
    <xf numFmtId="0" fontId="32" fillId="4" borderId="11" xfId="0" applyFont="1" applyFill="1" applyBorder="1" applyAlignment="1">
      <alignment horizontal="left" vertical="center" wrapText="1"/>
    </xf>
    <xf numFmtId="0" fontId="32" fillId="4" borderId="9" xfId="0" applyFont="1" applyFill="1" applyBorder="1" applyAlignment="1">
      <alignment horizontal="left" vertical="center" wrapText="1"/>
    </xf>
    <xf numFmtId="0" fontId="32" fillId="4" borderId="10" xfId="0" applyFont="1" applyFill="1" applyBorder="1" applyAlignment="1">
      <alignment horizontal="left" vertical="center" wrapText="1"/>
    </xf>
    <xf numFmtId="0" fontId="24" fillId="4" borderId="11" xfId="0" applyFont="1" applyFill="1" applyBorder="1" applyAlignment="1">
      <alignment horizontal="center" vertical="center" wrapText="1"/>
    </xf>
    <xf numFmtId="0" fontId="24" fillId="4" borderId="9" xfId="0" applyFont="1" applyFill="1" applyBorder="1" applyAlignment="1">
      <alignment horizontal="center" vertical="center" wrapText="1"/>
    </xf>
    <xf numFmtId="0" fontId="24" fillId="4" borderId="10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left" vertical="center"/>
    </xf>
    <xf numFmtId="0" fontId="32" fillId="0" borderId="65" xfId="0" applyFont="1" applyBorder="1" applyAlignment="1">
      <alignment horizontal="left" vertical="top" wrapText="1"/>
    </xf>
    <xf numFmtId="0" fontId="32" fillId="0" borderId="15" xfId="0" applyFont="1" applyBorder="1" applyAlignment="1">
      <alignment horizontal="left" vertical="top" wrapText="1"/>
    </xf>
    <xf numFmtId="0" fontId="32" fillId="0" borderId="27" xfId="0" applyFont="1" applyBorder="1" applyAlignment="1">
      <alignment horizontal="left" vertical="top" wrapText="1"/>
    </xf>
    <xf numFmtId="0" fontId="32" fillId="0" borderId="13" xfId="0" applyFont="1" applyBorder="1" applyAlignment="1">
      <alignment horizontal="left" vertical="top" wrapText="1"/>
    </xf>
    <xf numFmtId="0" fontId="32" fillId="0" borderId="8" xfId="0" applyFont="1" applyBorder="1" applyAlignment="1">
      <alignment horizontal="left" vertical="top" wrapText="1"/>
    </xf>
    <xf numFmtId="0" fontId="32" fillId="0" borderId="14" xfId="0" applyFont="1" applyBorder="1" applyAlignment="1">
      <alignment horizontal="left" vertical="top" wrapText="1"/>
    </xf>
    <xf numFmtId="0" fontId="24" fillId="0" borderId="65" xfId="0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24" fillId="0" borderId="2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32" fillId="0" borderId="65" xfId="0" applyFont="1" applyBorder="1" applyAlignment="1">
      <alignment horizontal="left" vertical="top"/>
    </xf>
    <xf numFmtId="0" fontId="32" fillId="0" borderId="27" xfId="0" applyFont="1" applyBorder="1" applyAlignment="1">
      <alignment horizontal="left" vertical="top"/>
    </xf>
    <xf numFmtId="0" fontId="32" fillId="0" borderId="13" xfId="0" applyFont="1" applyBorder="1" applyAlignment="1">
      <alignment horizontal="left" vertical="top"/>
    </xf>
    <xf numFmtId="0" fontId="32" fillId="0" borderId="14" xfId="0" applyFont="1" applyBorder="1" applyAlignment="1">
      <alignment horizontal="left" vertical="top"/>
    </xf>
    <xf numFmtId="0" fontId="32" fillId="0" borderId="15" xfId="0" applyFont="1" applyBorder="1" applyAlignment="1">
      <alignment horizontal="left" vertical="top"/>
    </xf>
    <xf numFmtId="0" fontId="32" fillId="0" borderId="30" xfId="0" applyFont="1" applyBorder="1" applyAlignment="1">
      <alignment horizontal="left" vertical="top"/>
    </xf>
    <xf numFmtId="0" fontId="32" fillId="0" borderId="0" xfId="0" applyFont="1" applyBorder="1" applyAlignment="1">
      <alignment horizontal="left" vertical="top"/>
    </xf>
    <xf numFmtId="0" fontId="32" fillId="0" borderId="31" xfId="0" applyFont="1" applyBorder="1" applyAlignment="1">
      <alignment horizontal="left" vertical="top"/>
    </xf>
    <xf numFmtId="0" fontId="32" fillId="0" borderId="8" xfId="0" applyFont="1" applyBorder="1" applyAlignment="1">
      <alignment horizontal="left" vertical="top"/>
    </xf>
    <xf numFmtId="0" fontId="24" fillId="0" borderId="30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24" fillId="0" borderId="31" xfId="0" applyFont="1" applyBorder="1" applyAlignment="1">
      <alignment horizontal="center"/>
    </xf>
    <xf numFmtId="0" fontId="53" fillId="0" borderId="11" xfId="0" applyFont="1" applyBorder="1" applyAlignment="1">
      <alignment horizontal="center"/>
    </xf>
    <xf numFmtId="0" fontId="53" fillId="0" borderId="9" xfId="0" applyFont="1" applyBorder="1" applyAlignment="1">
      <alignment horizontal="center"/>
    </xf>
    <xf numFmtId="0" fontId="53" fillId="0" borderId="10" xfId="0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58" fillId="7" borderId="19" xfId="0" applyFont="1" applyFill="1" applyBorder="1" applyAlignment="1">
      <alignment horizontal="center"/>
    </xf>
    <xf numFmtId="0" fontId="58" fillId="7" borderId="16" xfId="0" applyFont="1" applyFill="1" applyBorder="1" applyAlignment="1">
      <alignment horizontal="center"/>
    </xf>
    <xf numFmtId="0" fontId="58" fillId="7" borderId="20" xfId="0" applyFont="1" applyFill="1" applyBorder="1" applyAlignment="1">
      <alignment horizontal="center"/>
    </xf>
    <xf numFmtId="0" fontId="55" fillId="11" borderId="32" xfId="0" applyFont="1" applyFill="1" applyBorder="1" applyAlignment="1">
      <alignment horizontal="center" vertical="center" wrapText="1"/>
    </xf>
    <xf numFmtId="0" fontId="55" fillId="11" borderId="33" xfId="0" applyFont="1" applyFill="1" applyBorder="1" applyAlignment="1">
      <alignment horizontal="center" vertical="center" wrapText="1"/>
    </xf>
    <xf numFmtId="0" fontId="57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0" fontId="58" fillId="9" borderId="34" xfId="0" applyFont="1" applyFill="1" applyBorder="1" applyAlignment="1">
      <alignment horizontal="left"/>
    </xf>
    <xf numFmtId="0" fontId="58" fillId="9" borderId="35" xfId="0" applyFont="1" applyFill="1" applyBorder="1" applyAlignment="1">
      <alignment horizontal="left"/>
    </xf>
    <xf numFmtId="0" fontId="58" fillId="9" borderId="36" xfId="0" applyFont="1" applyFill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58" fillId="10" borderId="19" xfId="0" applyFont="1" applyFill="1" applyBorder="1" applyAlignment="1">
      <alignment horizontal="left"/>
    </xf>
    <xf numFmtId="0" fontId="58" fillId="10" borderId="16" xfId="0" applyFont="1" applyFill="1" applyBorder="1" applyAlignment="1">
      <alignment horizontal="left"/>
    </xf>
    <xf numFmtId="0" fontId="58" fillId="10" borderId="20" xfId="0" applyFont="1" applyFill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31" xfId="0" applyFont="1" applyBorder="1" applyAlignment="1">
      <alignment horizontal="left"/>
    </xf>
    <xf numFmtId="0" fontId="54" fillId="0" borderId="28" xfId="0" applyFont="1" applyBorder="1" applyAlignment="1">
      <alignment horizontal="center"/>
    </xf>
    <xf numFmtId="0" fontId="54" fillId="0" borderId="29" xfId="0" applyFont="1" applyBorder="1" applyAlignment="1">
      <alignment horizontal="center"/>
    </xf>
    <xf numFmtId="0" fontId="54" fillId="0" borderId="22" xfId="0" applyFont="1" applyBorder="1" applyAlignment="1">
      <alignment horizontal="center"/>
    </xf>
    <xf numFmtId="0" fontId="55" fillId="11" borderId="1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8" fillId="8" borderId="19" xfId="0" applyFont="1" applyFill="1" applyBorder="1" applyAlignment="1">
      <alignment horizontal="left"/>
    </xf>
    <xf numFmtId="0" fontId="58" fillId="8" borderId="16" xfId="0" applyFont="1" applyFill="1" applyBorder="1" applyAlignment="1">
      <alignment horizontal="left"/>
    </xf>
    <xf numFmtId="0" fontId="58" fillId="8" borderId="20" xfId="0" applyFont="1" applyFill="1" applyBorder="1" applyAlignment="1">
      <alignment horizontal="left"/>
    </xf>
    <xf numFmtId="0" fontId="59" fillId="0" borderId="1" xfId="0" applyFont="1" applyBorder="1" applyAlignment="1">
      <alignment horizontal="center" wrapText="1"/>
    </xf>
    <xf numFmtId="0" fontId="59" fillId="0" borderId="0" xfId="0" applyFont="1" applyAlignment="1">
      <alignment horizontal="center" wrapText="1"/>
    </xf>
    <xf numFmtId="0" fontId="59" fillId="0" borderId="4" xfId="0" applyFont="1" applyBorder="1" applyAlignment="1">
      <alignment horizontal="center" wrapText="1"/>
    </xf>
    <xf numFmtId="0" fontId="59" fillId="0" borderId="24" xfId="0" applyFont="1" applyBorder="1" applyAlignment="1">
      <alignment horizontal="center"/>
    </xf>
    <xf numFmtId="0" fontId="59" fillId="0" borderId="25" xfId="0" applyFont="1" applyBorder="1" applyAlignment="1">
      <alignment horizontal="center"/>
    </xf>
    <xf numFmtId="0" fontId="59" fillId="0" borderId="26" xfId="0" applyFont="1" applyBorder="1" applyAlignment="1">
      <alignment horizontal="center"/>
    </xf>
    <xf numFmtId="0" fontId="58" fillId="12" borderId="34" xfId="0" applyFont="1" applyFill="1" applyBorder="1" applyAlignment="1">
      <alignment horizontal="left"/>
    </xf>
    <xf numFmtId="0" fontId="58" fillId="12" borderId="35" xfId="0" applyFont="1" applyFill="1" applyBorder="1" applyAlignment="1">
      <alignment horizontal="left"/>
    </xf>
    <xf numFmtId="0" fontId="58" fillId="12" borderId="36" xfId="0" applyFont="1" applyFill="1" applyBorder="1" applyAlignment="1">
      <alignment horizontal="left"/>
    </xf>
  </cellXfs>
  <cellStyles count="3">
    <cellStyle name="Normal" xfId="0" builtinId="0"/>
    <cellStyle name="Normal 2" xfId="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38</xdr:row>
      <xdr:rowOff>53340</xdr:rowOff>
    </xdr:from>
    <xdr:to>
      <xdr:col>12</xdr:col>
      <xdr:colOff>0</xdr:colOff>
      <xdr:row>45</xdr:row>
      <xdr:rowOff>123261</xdr:rowOff>
    </xdr:to>
    <xdr:sp macro="" textlink="">
      <xdr:nvSpPr>
        <xdr:cNvPr id="1040" name="AutoShape 16" descr="If completing on-screen type an &quot;a&quot; to get a check mark in the &quot;Hiring Decision&quot; boxes.">
          <a:extLst>
            <a:ext uri="{FF2B5EF4-FFF2-40B4-BE49-F238E27FC236}">
              <a16:creationId xmlns:a16="http://schemas.microsoft.com/office/drawing/2014/main" id="{DBE2E47C-D10F-F0AE-5B0E-9E452DB9C68B}"/>
            </a:ext>
          </a:extLst>
        </xdr:cNvPr>
        <xdr:cNvSpPr>
          <a:spLocks noChangeArrowheads="1"/>
        </xdr:cNvSpPr>
      </xdr:nvSpPr>
      <xdr:spPr bwMode="auto">
        <a:xfrm flipH="1">
          <a:off x="6720840" y="7894320"/>
          <a:ext cx="1242060" cy="1508760"/>
        </a:xfrm>
        <a:prstGeom prst="homePlate">
          <a:avLst>
            <a:gd name="adj" fmla="val 20796"/>
          </a:avLst>
        </a:prstGeom>
        <a:gradFill rotWithShape="0">
          <a:gsLst>
            <a:gs pos="0">
              <a:srgbClr xmlns:mc="http://schemas.openxmlformats.org/markup-compatibility/2006" xmlns:a14="http://schemas.microsoft.com/office/drawing/2010/main" val="FFFFFF" mc:Ignorable="a14" a14:legacySpreadsheetColorIndex="43">
                <a:gamma/>
                <a:tint val="0"/>
                <a:invGamma/>
              </a:srgbClr>
            </a:gs>
            <a:gs pos="100000">
              <a:srgbClr xmlns:mc="http://schemas.openxmlformats.org/markup-compatibility/2006" xmlns:a14="http://schemas.microsoft.com/office/drawing/2010/main" val="FFFF99" mc:Ignorable="a14" a14:legacySpreadsheetColorIndex="43"/>
            </a:gs>
          </a:gsLst>
          <a:path path="shape">
            <a:fillToRect l="50000" t="50000" r="50000" b="50000"/>
          </a:path>
        </a:gra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If completing on-screen type an "</a:t>
          </a: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" to get a check mark in the "Hiring Recommendation" boxes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xmlns:mc="http://schemas.openxmlformats.org/markup-compatibility/2006" xmlns:a14="http://schemas.microsoft.com/office/drawing/2010/main" val="2B0000" mc:Ignorable="a14" a14:legacySpreadsheetColorIndex="43">
                <a:gamma/>
                <a:tint val="0"/>
                <a:invGamma/>
              </a:srgbClr>
            </a:gs>
            <a:gs pos="100000">
              <a:srgbClr xmlns:mc="http://schemas.openxmlformats.org/markup-compatibility/2006" xmlns:a14="http://schemas.microsoft.com/office/drawing/2010/main" val="2B0000" mc:Ignorable="a14" a14:legacySpreadsheetColorIndex="43"/>
            </a:gs>
          </a:gsLst>
          <a:path path="rect">
            <a:fillToRect l="50000" t="50000" r="50000" b="50000"/>
          </a:path>
        </a:gra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xmlns:mc="http://schemas.openxmlformats.org/markup-compatibility/2006" xmlns:a14="http://schemas.microsoft.com/office/drawing/2010/main" val="2B0000" mc:Ignorable="a14" a14:legacySpreadsheetColorIndex="43">
                <a:gamma/>
                <a:tint val="0"/>
                <a:invGamma/>
              </a:srgbClr>
            </a:gs>
            <a:gs pos="100000">
              <a:srgbClr xmlns:mc="http://schemas.openxmlformats.org/markup-compatibility/2006" xmlns:a14="http://schemas.microsoft.com/office/drawing/2010/main" val="2B0000" mc:Ignorable="a14" a14:legacySpreadsheetColorIndex="43"/>
            </a:gs>
          </a:gsLst>
          <a:path path="rect">
            <a:fillToRect l="50000" t="50000" r="50000" b="50000"/>
          </a:path>
        </a:gra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L47"/>
  <sheetViews>
    <sheetView showGridLines="0" zoomScaleNormal="100" workbookViewId="0">
      <selection activeCell="A3" sqref="A3:L3"/>
    </sheetView>
  </sheetViews>
  <sheetFormatPr defaultColWidth="9.109375" defaultRowHeight="10.199999999999999"/>
  <cols>
    <col min="1" max="1" width="3" style="2" customWidth="1"/>
    <col min="2" max="2" width="11.44140625" style="2" customWidth="1"/>
    <col min="3" max="3" width="9.109375" style="2"/>
    <col min="4" max="4" width="7.6640625" style="2" customWidth="1"/>
    <col min="5" max="5" width="17.109375" style="2" customWidth="1"/>
    <col min="6" max="6" width="8.109375" style="2" customWidth="1"/>
    <col min="7" max="7" width="11.88671875" style="2" customWidth="1"/>
    <col min="8" max="8" width="8.109375" style="2" customWidth="1"/>
    <col min="9" max="9" width="10.33203125" style="2" customWidth="1"/>
    <col min="10" max="10" width="11.109375" style="2" customWidth="1"/>
    <col min="11" max="16384" width="9.109375" style="2"/>
  </cols>
  <sheetData>
    <row r="3" spans="1:12" ht="17.25" customHeight="1">
      <c r="A3" s="168" t="s">
        <v>55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</row>
    <row r="4" spans="1:12" ht="12.75" customHeight="1">
      <c r="A4" s="169" t="s">
        <v>0</v>
      </c>
      <c r="B4" s="169"/>
      <c r="C4" s="36"/>
      <c r="D4" s="37"/>
      <c r="E4" s="37"/>
      <c r="F4" s="169" t="s">
        <v>1</v>
      </c>
      <c r="G4" s="169"/>
      <c r="H4" s="170"/>
      <c r="I4" s="170"/>
    </row>
    <row r="5" spans="1:12" ht="6" customHeight="1"/>
    <row r="6" spans="1:12" ht="12.75" customHeight="1">
      <c r="A6" s="169" t="s">
        <v>2</v>
      </c>
      <c r="B6" s="169"/>
      <c r="C6" s="173"/>
      <c r="D6" s="173"/>
      <c r="E6" s="173"/>
      <c r="F6" s="169" t="s">
        <v>3</v>
      </c>
      <c r="G6" s="169"/>
      <c r="H6" s="174"/>
      <c r="I6" s="174"/>
      <c r="J6" s="174"/>
    </row>
    <row r="7" spans="1:12" ht="6" customHeight="1"/>
    <row r="8" spans="1:12" ht="12.75" customHeight="1">
      <c r="A8" s="169" t="s">
        <v>4</v>
      </c>
      <c r="B8" s="169"/>
      <c r="C8" s="169"/>
      <c r="D8" s="175"/>
      <c r="E8" s="175"/>
      <c r="F8" s="3"/>
      <c r="G8" s="1" t="s">
        <v>5</v>
      </c>
      <c r="H8" s="172"/>
      <c r="I8" s="172"/>
      <c r="J8" s="172"/>
      <c r="L8" s="26"/>
    </row>
    <row r="9" spans="1:12" ht="10.8" thickBot="1">
      <c r="D9" s="1"/>
      <c r="L9" s="26"/>
    </row>
    <row r="10" spans="1:12" ht="15.6" thickBot="1">
      <c r="A10" s="20" t="s">
        <v>23</v>
      </c>
      <c r="B10" s="8"/>
      <c r="C10" s="8"/>
      <c r="D10" s="8"/>
      <c r="E10" s="9"/>
      <c r="F10" s="9"/>
      <c r="G10" s="9"/>
      <c r="H10" s="9"/>
      <c r="I10" s="9"/>
      <c r="J10" s="10" t="s">
        <v>36</v>
      </c>
      <c r="K10" s="27" t="s">
        <v>6</v>
      </c>
      <c r="L10" s="28" t="s">
        <v>29</v>
      </c>
    </row>
    <row r="11" spans="1:12" ht="10.8" thickBot="1">
      <c r="A11" s="11" t="s">
        <v>25</v>
      </c>
      <c r="J11" s="12" t="s">
        <v>28</v>
      </c>
      <c r="K11" s="12" t="s">
        <v>7</v>
      </c>
      <c r="L11" s="28" t="s">
        <v>30</v>
      </c>
    </row>
    <row r="12" spans="1:12" ht="12.75" customHeight="1" thickBot="1">
      <c r="A12" s="7" t="s">
        <v>8</v>
      </c>
      <c r="B12" s="161" t="s">
        <v>41</v>
      </c>
      <c r="C12" s="162"/>
      <c r="D12" s="162"/>
      <c r="E12" s="162"/>
      <c r="F12" s="162"/>
      <c r="G12" s="162"/>
      <c r="H12" s="162"/>
      <c r="I12" s="163"/>
      <c r="J12" s="32">
        <v>0.2</v>
      </c>
      <c r="K12" s="29">
        <v>5</v>
      </c>
      <c r="L12" s="28">
        <f>K12*J12</f>
        <v>1</v>
      </c>
    </row>
    <row r="13" spans="1:12" ht="12.75" customHeight="1" thickBot="1">
      <c r="A13" s="7" t="s">
        <v>9</v>
      </c>
      <c r="B13" s="159" t="s">
        <v>42</v>
      </c>
      <c r="C13" s="160"/>
      <c r="D13" s="160"/>
      <c r="E13" s="160"/>
      <c r="F13" s="160"/>
      <c r="G13" s="160"/>
      <c r="H13" s="160"/>
      <c r="I13" s="160"/>
      <c r="J13" s="32">
        <v>0.2</v>
      </c>
      <c r="K13" s="29">
        <v>5</v>
      </c>
      <c r="L13" s="28">
        <f>K13*J13</f>
        <v>1</v>
      </c>
    </row>
    <row r="14" spans="1:12" ht="12.75" customHeight="1" thickBot="1">
      <c r="A14" s="7" t="s">
        <v>10</v>
      </c>
      <c r="B14" s="159" t="s">
        <v>43</v>
      </c>
      <c r="C14" s="171"/>
      <c r="D14" s="171"/>
      <c r="E14" s="171"/>
      <c r="F14" s="171"/>
      <c r="G14" s="171"/>
      <c r="H14" s="171"/>
      <c r="I14" s="171"/>
      <c r="J14" s="32">
        <v>0.2</v>
      </c>
      <c r="K14" s="29">
        <v>5</v>
      </c>
      <c r="L14" s="28">
        <f>K14*J14</f>
        <v>1</v>
      </c>
    </row>
    <row r="15" spans="1:12" ht="12.75" customHeight="1" thickBot="1">
      <c r="A15" s="7" t="s">
        <v>11</v>
      </c>
      <c r="B15" s="159" t="s">
        <v>44</v>
      </c>
      <c r="C15" s="160"/>
      <c r="D15" s="160"/>
      <c r="E15" s="160"/>
      <c r="F15" s="160"/>
      <c r="G15" s="160"/>
      <c r="H15" s="160"/>
      <c r="I15" s="160"/>
      <c r="J15" s="32">
        <v>0.2</v>
      </c>
      <c r="K15" s="29">
        <v>5</v>
      </c>
      <c r="L15" s="28">
        <f>K15*J15</f>
        <v>1</v>
      </c>
    </row>
    <row r="16" spans="1:12" ht="12.75" customHeight="1" thickBot="1">
      <c r="A16" s="7" t="s">
        <v>12</v>
      </c>
      <c r="B16" s="159" t="s">
        <v>45</v>
      </c>
      <c r="C16" s="160"/>
      <c r="D16" s="160"/>
      <c r="E16" s="160"/>
      <c r="F16" s="160"/>
      <c r="G16" s="160"/>
      <c r="H16" s="160"/>
      <c r="I16" s="160"/>
      <c r="J16" s="32">
        <v>0.2</v>
      </c>
      <c r="K16" s="29">
        <v>5</v>
      </c>
      <c r="L16" s="28">
        <f>K16*J16</f>
        <v>1</v>
      </c>
    </row>
    <row r="17" spans="1:12" ht="12.75" customHeight="1" thickBot="1">
      <c r="A17" s="16" t="s">
        <v>18</v>
      </c>
      <c r="B17" s="13"/>
      <c r="C17" s="13"/>
      <c r="D17" s="13"/>
      <c r="E17" s="13"/>
      <c r="F17" s="13"/>
      <c r="G17" s="13"/>
      <c r="H17" s="13"/>
      <c r="I17" s="22" t="s">
        <v>16</v>
      </c>
      <c r="J17" s="33">
        <f>SUM(J12:J16)</f>
        <v>1</v>
      </c>
      <c r="K17" s="29"/>
      <c r="L17" s="30">
        <f>SUM(L12:L16)</f>
        <v>5</v>
      </c>
    </row>
    <row r="18" spans="1:12" ht="46.5" customHeight="1" thickBot="1">
      <c r="A18" s="164" t="s">
        <v>26</v>
      </c>
      <c r="B18" s="165"/>
      <c r="C18" s="165"/>
      <c r="D18" s="165"/>
      <c r="E18" s="165"/>
      <c r="F18" s="165"/>
      <c r="G18" s="165"/>
      <c r="H18" s="165"/>
      <c r="I18" s="165"/>
      <c r="J18" s="166"/>
      <c r="L18" s="26"/>
    </row>
    <row r="19" spans="1:12" ht="15.6" thickBot="1">
      <c r="A19" s="21" t="s">
        <v>24</v>
      </c>
      <c r="B19" s="14"/>
      <c r="C19" s="14"/>
      <c r="D19" s="14"/>
      <c r="J19" s="12" t="s">
        <v>36</v>
      </c>
      <c r="K19" s="27" t="s">
        <v>6</v>
      </c>
      <c r="L19" s="28" t="s">
        <v>29</v>
      </c>
    </row>
    <row r="20" spans="1:12" ht="10.8" thickBot="1">
      <c r="A20" s="11" t="s">
        <v>20</v>
      </c>
      <c r="J20" s="12" t="s">
        <v>28</v>
      </c>
      <c r="K20" s="27" t="s">
        <v>7</v>
      </c>
      <c r="L20" s="28" t="s">
        <v>30</v>
      </c>
    </row>
    <row r="21" spans="1:12" ht="12.75" customHeight="1" thickBot="1">
      <c r="A21" s="7" t="s">
        <v>8</v>
      </c>
      <c r="B21" s="159" t="s">
        <v>46</v>
      </c>
      <c r="C21" s="160"/>
      <c r="D21" s="160"/>
      <c r="E21" s="160"/>
      <c r="F21" s="160"/>
      <c r="G21" s="160"/>
      <c r="H21" s="160"/>
      <c r="I21" s="160"/>
      <c r="J21" s="32">
        <v>0.15</v>
      </c>
      <c r="K21" s="29"/>
      <c r="L21" s="28">
        <f>K21*J21</f>
        <v>0</v>
      </c>
    </row>
    <row r="22" spans="1:12" ht="12.75" customHeight="1" thickBot="1">
      <c r="A22" s="7" t="s">
        <v>9</v>
      </c>
      <c r="B22" s="161" t="s">
        <v>47</v>
      </c>
      <c r="C22" s="162"/>
      <c r="D22" s="162"/>
      <c r="E22" s="162"/>
      <c r="F22" s="162"/>
      <c r="G22" s="162"/>
      <c r="H22" s="162"/>
      <c r="I22" s="163"/>
      <c r="J22" s="32">
        <v>0.15</v>
      </c>
      <c r="K22" s="29"/>
      <c r="L22" s="28">
        <f t="shared" ref="L22:L27" si="0">K22*J22</f>
        <v>0</v>
      </c>
    </row>
    <row r="23" spans="1:12" ht="12.75" customHeight="1" thickBot="1">
      <c r="A23" s="7" t="s">
        <v>9</v>
      </c>
      <c r="B23" s="161" t="s">
        <v>51</v>
      </c>
      <c r="C23" s="162"/>
      <c r="D23" s="162"/>
      <c r="E23" s="162"/>
      <c r="F23" s="162"/>
      <c r="G23" s="162"/>
      <c r="H23" s="162"/>
      <c r="I23" s="163"/>
      <c r="J23" s="32">
        <v>0.15</v>
      </c>
      <c r="K23" s="29"/>
      <c r="L23" s="28">
        <f t="shared" si="0"/>
        <v>0</v>
      </c>
    </row>
    <row r="24" spans="1:12" ht="15" customHeight="1" thickBot="1">
      <c r="A24" s="7" t="s">
        <v>10</v>
      </c>
      <c r="B24" s="159" t="s">
        <v>52</v>
      </c>
      <c r="C24" s="160"/>
      <c r="D24" s="160"/>
      <c r="E24" s="160"/>
      <c r="F24" s="160"/>
      <c r="G24" s="160"/>
      <c r="H24" s="160"/>
      <c r="I24" s="160"/>
      <c r="J24" s="32">
        <v>0.1</v>
      </c>
      <c r="K24" s="29"/>
      <c r="L24" s="28">
        <f t="shared" si="0"/>
        <v>0</v>
      </c>
    </row>
    <row r="25" spans="1:12" ht="15" customHeight="1" thickBot="1">
      <c r="A25" s="7" t="s">
        <v>11</v>
      </c>
      <c r="B25" s="40" t="s">
        <v>48</v>
      </c>
      <c r="C25" s="38"/>
      <c r="D25" s="38"/>
      <c r="E25" s="38"/>
      <c r="F25" s="38"/>
      <c r="G25" s="38"/>
      <c r="H25" s="38"/>
      <c r="I25" s="39"/>
      <c r="J25" s="32">
        <v>0.15</v>
      </c>
      <c r="K25" s="29"/>
      <c r="L25" s="28">
        <f t="shared" si="0"/>
        <v>0</v>
      </c>
    </row>
    <row r="26" spans="1:12" ht="15" customHeight="1" thickBot="1">
      <c r="A26" s="7" t="s">
        <v>12</v>
      </c>
      <c r="B26" s="40" t="s">
        <v>50</v>
      </c>
      <c r="C26" s="38"/>
      <c r="D26" s="38"/>
      <c r="E26" s="38"/>
      <c r="F26" s="38"/>
      <c r="G26" s="38"/>
      <c r="H26" s="38"/>
      <c r="I26" s="39"/>
      <c r="J26" s="32">
        <v>0.1</v>
      </c>
      <c r="K26" s="29"/>
      <c r="L26" s="28">
        <f t="shared" si="0"/>
        <v>0</v>
      </c>
    </row>
    <row r="27" spans="1:12" ht="15" customHeight="1" thickBot="1">
      <c r="A27" s="7" t="s">
        <v>49</v>
      </c>
      <c r="B27" s="40" t="s">
        <v>53</v>
      </c>
      <c r="C27" s="38"/>
      <c r="D27" s="38"/>
      <c r="E27" s="38"/>
      <c r="F27" s="38"/>
      <c r="G27" s="38"/>
      <c r="H27" s="38"/>
      <c r="I27" s="39"/>
      <c r="J27" s="32">
        <v>0.2</v>
      </c>
      <c r="K27" s="29"/>
      <c r="L27" s="28">
        <f t="shared" si="0"/>
        <v>0</v>
      </c>
    </row>
    <row r="28" spans="1:12" ht="12.75" customHeight="1" thickBot="1">
      <c r="A28" s="16" t="s">
        <v>19</v>
      </c>
      <c r="B28" s="15"/>
      <c r="C28" s="15"/>
      <c r="D28" s="15"/>
      <c r="E28" s="15"/>
      <c r="F28" s="15"/>
      <c r="G28" s="15"/>
      <c r="H28" s="15"/>
      <c r="I28" s="23" t="s">
        <v>17</v>
      </c>
      <c r="J28" s="33">
        <v>1</v>
      </c>
      <c r="K28" s="29"/>
      <c r="L28" s="30">
        <f>SUM(L21:L27)</f>
        <v>0</v>
      </c>
    </row>
    <row r="29" spans="1:12" ht="46.5" customHeight="1" thickBot="1">
      <c r="A29" s="164"/>
      <c r="B29" s="165"/>
      <c r="C29" s="165"/>
      <c r="D29" s="165"/>
      <c r="E29" s="165"/>
      <c r="F29" s="165"/>
      <c r="G29" s="165"/>
      <c r="H29" s="165"/>
      <c r="I29" s="165"/>
      <c r="J29" s="166"/>
      <c r="L29" s="26"/>
    </row>
    <row r="30" spans="1:12" ht="11.25" customHeight="1">
      <c r="A30" s="17"/>
      <c r="B30" s="18"/>
      <c r="C30" s="18"/>
      <c r="D30" s="18"/>
      <c r="E30" s="18"/>
      <c r="F30" s="18"/>
      <c r="G30" s="18"/>
      <c r="H30" s="18"/>
      <c r="I30" s="18"/>
      <c r="J30" s="18"/>
    </row>
    <row r="31" spans="1:12">
      <c r="A31" s="4" t="s">
        <v>13</v>
      </c>
    </row>
    <row r="32" spans="1:12" ht="34.5" customHeight="1">
      <c r="A32" s="157"/>
      <c r="B32" s="158"/>
      <c r="C32" s="158"/>
      <c r="D32" s="158"/>
      <c r="E32" s="158"/>
      <c r="F32" s="158"/>
      <c r="G32" s="158"/>
      <c r="H32" s="158"/>
      <c r="I32" s="158"/>
      <c r="J32" s="158"/>
    </row>
    <row r="33" spans="1:12">
      <c r="A33" s="4" t="s">
        <v>14</v>
      </c>
    </row>
    <row r="34" spans="1:12" ht="34.5" customHeight="1" thickBot="1">
      <c r="A34" s="157"/>
      <c r="B34" s="158"/>
      <c r="C34" s="158"/>
      <c r="D34" s="158"/>
      <c r="E34" s="158"/>
      <c r="F34" s="158"/>
      <c r="G34" s="158"/>
      <c r="H34" s="158"/>
      <c r="I34" s="158"/>
      <c r="J34" s="158"/>
    </row>
    <row r="35" spans="1:12" ht="16.2" thickBot="1">
      <c r="A35" s="4" t="s">
        <v>15</v>
      </c>
      <c r="I35" s="24" t="s">
        <v>22</v>
      </c>
      <c r="J35" s="19">
        <f>0.5*(L17+L28)</f>
        <v>2.5</v>
      </c>
    </row>
    <row r="36" spans="1:12" ht="43.5" customHeight="1">
      <c r="A36" s="157"/>
      <c r="B36" s="158"/>
      <c r="C36" s="158"/>
      <c r="D36" s="158"/>
      <c r="E36" s="158"/>
      <c r="F36" s="158"/>
      <c r="G36" s="158"/>
      <c r="H36" s="158"/>
      <c r="I36" s="158"/>
      <c r="J36" s="158"/>
    </row>
    <row r="38" spans="1:12" ht="13.8">
      <c r="A38" s="25" t="s">
        <v>28</v>
      </c>
      <c r="B38" s="5"/>
      <c r="C38" s="6"/>
      <c r="F38" s="26"/>
    </row>
    <row r="39" spans="1:12">
      <c r="A39" s="4" t="s">
        <v>21</v>
      </c>
      <c r="F39" s="167"/>
      <c r="G39" s="167"/>
      <c r="H39" s="167"/>
      <c r="I39" s="167"/>
      <c r="J39" s="167"/>
      <c r="L39" s="26"/>
    </row>
    <row r="40" spans="1:12" ht="43.5" customHeight="1" thickBot="1">
      <c r="A40" s="157" t="s">
        <v>27</v>
      </c>
      <c r="B40" s="158"/>
      <c r="C40" s="158"/>
      <c r="D40" s="158"/>
      <c r="E40" s="158"/>
      <c r="F40" s="158"/>
      <c r="G40" s="158"/>
      <c r="H40" s="158"/>
      <c r="I40" s="158"/>
      <c r="J40" s="158"/>
      <c r="L40" s="26"/>
    </row>
    <row r="41" spans="1:12" ht="20.25" customHeight="1" thickBot="1">
      <c r="A41" s="25" t="s">
        <v>40</v>
      </c>
      <c r="B41" s="5"/>
      <c r="C41" s="6"/>
      <c r="E41" s="34" t="s">
        <v>37</v>
      </c>
      <c r="F41" s="35"/>
      <c r="G41" s="34" t="s">
        <v>38</v>
      </c>
      <c r="H41" s="35"/>
      <c r="I41" s="34" t="s">
        <v>39</v>
      </c>
      <c r="J41" s="35"/>
      <c r="L41" s="26"/>
    </row>
    <row r="42" spans="1:12">
      <c r="A42" s="2" t="s">
        <v>31</v>
      </c>
      <c r="L42" s="26"/>
    </row>
    <row r="43" spans="1:12">
      <c r="A43" s="2">
        <v>5</v>
      </c>
      <c r="B43" s="31" t="s">
        <v>32</v>
      </c>
      <c r="L43" s="26"/>
    </row>
    <row r="44" spans="1:12">
      <c r="A44" s="2">
        <v>4</v>
      </c>
      <c r="B44" s="31" t="s">
        <v>33</v>
      </c>
      <c r="L44" s="26"/>
    </row>
    <row r="45" spans="1:12">
      <c r="A45" s="2">
        <v>3</v>
      </c>
      <c r="B45" s="31" t="s">
        <v>34</v>
      </c>
      <c r="L45" s="26"/>
    </row>
    <row r="46" spans="1:12">
      <c r="A46" s="2">
        <v>2</v>
      </c>
      <c r="B46" s="31" t="s">
        <v>35</v>
      </c>
      <c r="L46" s="26"/>
    </row>
    <row r="47" spans="1:12">
      <c r="A47" s="2">
        <v>1</v>
      </c>
      <c r="B47" s="31" t="s">
        <v>54</v>
      </c>
      <c r="L47" s="26"/>
    </row>
  </sheetData>
  <mergeCells count="27">
    <mergeCell ref="A3:L3"/>
    <mergeCell ref="F4:G4"/>
    <mergeCell ref="H4:I4"/>
    <mergeCell ref="B16:I16"/>
    <mergeCell ref="B12:I12"/>
    <mergeCell ref="B13:I13"/>
    <mergeCell ref="B14:I14"/>
    <mergeCell ref="F6:G6"/>
    <mergeCell ref="H8:J8"/>
    <mergeCell ref="A8:C8"/>
    <mergeCell ref="C6:E6"/>
    <mergeCell ref="H6:J6"/>
    <mergeCell ref="A4:B4"/>
    <mergeCell ref="A6:B6"/>
    <mergeCell ref="D8:E8"/>
    <mergeCell ref="A40:J40"/>
    <mergeCell ref="A36:J36"/>
    <mergeCell ref="A32:J32"/>
    <mergeCell ref="A34:J34"/>
    <mergeCell ref="B15:I15"/>
    <mergeCell ref="B21:I21"/>
    <mergeCell ref="B23:I23"/>
    <mergeCell ref="A18:J18"/>
    <mergeCell ref="B22:I22"/>
    <mergeCell ref="F39:J39"/>
    <mergeCell ref="A29:J29"/>
    <mergeCell ref="B24:I24"/>
  </mergeCells>
  <phoneticPr fontId="0" type="noConversion"/>
  <printOptions horizontalCentered="1"/>
  <pageMargins left="0.5" right="0.5" top="0" bottom="0" header="0" footer="0"/>
  <pageSetup scale="72" orientation="portrait" r:id="rId1"/>
  <headerFooter alignWithMargins="0">
    <oddFooter xml:space="preserve">&amp;R&amp;8Rev. 3-22-04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H34"/>
  <sheetViews>
    <sheetView showGridLines="0" view="pageBreakPreview" topLeftCell="A7" zoomScale="106" zoomScaleNormal="100" workbookViewId="0">
      <selection activeCell="B11" sqref="B11:J12"/>
    </sheetView>
  </sheetViews>
  <sheetFormatPr defaultColWidth="14.44140625" defaultRowHeight="30"/>
  <cols>
    <col min="1" max="1" width="2.5546875" style="41" customWidth="1"/>
    <col min="2" max="2" width="12.88671875" style="41" customWidth="1"/>
    <col min="3" max="3" width="19.77734375" style="41" customWidth="1"/>
    <col min="4" max="4" width="12.6640625" style="41" bestFit="1" customWidth="1"/>
    <col min="5" max="5" width="7.109375" style="41" customWidth="1"/>
    <col min="6" max="6" width="18.21875" style="41" customWidth="1"/>
    <col min="7" max="7" width="12.6640625" style="41" bestFit="1" customWidth="1"/>
    <col min="8" max="8" width="7.33203125" style="41" customWidth="1"/>
    <col min="9" max="9" width="19.6640625" style="41" customWidth="1"/>
    <col min="10" max="10" width="11.6640625" style="41" customWidth="1"/>
    <col min="11" max="11" width="6" style="41" customWidth="1"/>
    <col min="12" max="12" width="29.109375" style="41" customWidth="1"/>
    <col min="13" max="13" width="6.33203125" style="41" hidden="1" customWidth="1"/>
    <col min="14" max="14" width="10.33203125" style="41" customWidth="1"/>
    <col min="15" max="15" width="14.44140625" style="55"/>
    <col min="16" max="16384" width="14.44140625" style="41"/>
  </cols>
  <sheetData>
    <row r="1" spans="2:34" ht="11.25" customHeight="1">
      <c r="B1" s="131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</row>
    <row r="2" spans="2:34">
      <c r="B2" s="201" t="s">
        <v>90</v>
      </c>
      <c r="C2" s="202"/>
      <c r="D2" s="202"/>
      <c r="E2" s="202"/>
      <c r="F2" s="202"/>
      <c r="G2" s="202"/>
      <c r="H2" s="203"/>
      <c r="I2" s="203"/>
      <c r="J2" s="203"/>
      <c r="K2" s="203"/>
      <c r="L2" s="203"/>
      <c r="M2" s="203"/>
      <c r="N2" s="204"/>
      <c r="O2" s="56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</row>
    <row r="3" spans="2:34" ht="103.8" customHeight="1">
      <c r="B3" s="183" t="s">
        <v>140</v>
      </c>
      <c r="C3" s="184"/>
      <c r="D3" s="184"/>
      <c r="E3" s="122"/>
      <c r="F3" s="123" t="s">
        <v>144</v>
      </c>
      <c r="G3" s="124" t="s">
        <v>123</v>
      </c>
      <c r="H3" s="183" t="s">
        <v>124</v>
      </c>
      <c r="I3" s="184"/>
      <c r="J3" s="184"/>
      <c r="K3" s="184" t="s">
        <v>121</v>
      </c>
      <c r="L3" s="205"/>
      <c r="M3" s="184"/>
      <c r="N3" s="185"/>
      <c r="O3" s="56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</row>
    <row r="4" spans="2:34" ht="25.5" customHeight="1">
      <c r="B4" s="212" t="s">
        <v>161</v>
      </c>
      <c r="C4" s="213"/>
      <c r="D4" s="213"/>
      <c r="E4" s="213"/>
      <c r="F4" s="213"/>
      <c r="G4" s="213"/>
      <c r="H4" s="213"/>
      <c r="I4" s="213"/>
      <c r="J4" s="214"/>
      <c r="K4" s="230" t="s">
        <v>58</v>
      </c>
      <c r="L4" s="230"/>
      <c r="M4" s="231"/>
      <c r="N4" s="59" t="s">
        <v>114</v>
      </c>
      <c r="O4" s="56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</row>
    <row r="5" spans="2:34" ht="36.75" customHeight="1">
      <c r="B5" s="209" t="s">
        <v>141</v>
      </c>
      <c r="C5" s="210"/>
      <c r="D5" s="210"/>
      <c r="E5" s="210"/>
      <c r="F5" s="210"/>
      <c r="G5" s="210"/>
      <c r="H5" s="210"/>
      <c r="I5" s="210"/>
      <c r="J5" s="211"/>
      <c r="K5" s="186" t="s">
        <v>59</v>
      </c>
      <c r="L5" s="187"/>
      <c r="M5" s="188"/>
      <c r="N5" s="60" t="s">
        <v>60</v>
      </c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</row>
    <row r="6" spans="2:34" ht="40.5" customHeight="1">
      <c r="B6" s="209" t="s">
        <v>145</v>
      </c>
      <c r="C6" s="210"/>
      <c r="D6" s="210"/>
      <c r="E6" s="210"/>
      <c r="F6" s="210"/>
      <c r="G6" s="210"/>
      <c r="H6" s="210"/>
      <c r="I6" s="210"/>
      <c r="J6" s="211"/>
      <c r="K6" s="186" t="s">
        <v>91</v>
      </c>
      <c r="L6" s="187"/>
      <c r="M6" s="188"/>
      <c r="N6" s="61" t="s">
        <v>61</v>
      </c>
      <c r="P6" s="51"/>
      <c r="Q6" s="52" t="s">
        <v>109</v>
      </c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</row>
    <row r="7" spans="2:34" ht="27" customHeight="1">
      <c r="B7" s="215" t="s">
        <v>162</v>
      </c>
      <c r="C7" s="216"/>
      <c r="D7" s="216"/>
      <c r="E7" s="216"/>
      <c r="F7" s="216"/>
      <c r="G7" s="216"/>
      <c r="H7" s="216"/>
      <c r="I7" s="216"/>
      <c r="J7" s="217"/>
      <c r="K7" s="186" t="s">
        <v>62</v>
      </c>
      <c r="L7" s="187"/>
      <c r="M7" s="188"/>
      <c r="N7" s="62" t="s">
        <v>63</v>
      </c>
      <c r="O7" s="57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</row>
    <row r="8" spans="2:34" ht="36.75" customHeight="1">
      <c r="B8" s="221" t="s">
        <v>142</v>
      </c>
      <c r="C8" s="222"/>
      <c r="D8" s="222"/>
      <c r="E8" s="222"/>
      <c r="F8" s="222"/>
      <c r="G8" s="222"/>
      <c r="H8" s="222"/>
      <c r="I8" s="222"/>
      <c r="J8" s="223"/>
      <c r="K8" s="186" t="s">
        <v>64</v>
      </c>
      <c r="L8" s="187"/>
      <c r="M8" s="188"/>
      <c r="N8" s="63" t="s">
        <v>65</v>
      </c>
      <c r="O8" s="57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</row>
    <row r="9" spans="2:34" ht="35.25" customHeight="1">
      <c r="B9" s="224"/>
      <c r="C9" s="225"/>
      <c r="D9" s="225"/>
      <c r="E9" s="225"/>
      <c r="F9" s="225"/>
      <c r="G9" s="225"/>
      <c r="H9" s="225"/>
      <c r="I9" s="225"/>
      <c r="J9" s="226"/>
      <c r="K9" s="186" t="s">
        <v>66</v>
      </c>
      <c r="L9" s="187"/>
      <c r="M9" s="188"/>
      <c r="N9" s="64" t="s">
        <v>67</v>
      </c>
      <c r="O9" s="57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</row>
    <row r="10" spans="2:34" ht="27" customHeight="1">
      <c r="B10" s="218" t="s">
        <v>163</v>
      </c>
      <c r="C10" s="219"/>
      <c r="D10" s="219"/>
      <c r="E10" s="219"/>
      <c r="F10" s="219"/>
      <c r="G10" s="219"/>
      <c r="H10" s="219"/>
      <c r="I10" s="219"/>
      <c r="J10" s="220"/>
      <c r="K10" s="232" t="s">
        <v>68</v>
      </c>
      <c r="L10" s="233"/>
      <c r="M10" s="233"/>
      <c r="N10" s="234"/>
      <c r="O10" s="57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</row>
    <row r="11" spans="2:34" ht="36.75" customHeight="1">
      <c r="B11" s="221" t="s">
        <v>143</v>
      </c>
      <c r="C11" s="222"/>
      <c r="D11" s="222"/>
      <c r="E11" s="222"/>
      <c r="F11" s="222"/>
      <c r="G11" s="222"/>
      <c r="H11" s="222"/>
      <c r="I11" s="222"/>
      <c r="J11" s="223"/>
      <c r="K11" s="192">
        <v>46182</v>
      </c>
      <c r="L11" s="193"/>
      <c r="M11" s="193"/>
      <c r="N11" s="194"/>
      <c r="O11" s="57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</row>
    <row r="12" spans="2:34" ht="34.5" customHeight="1" thickBot="1">
      <c r="B12" s="227"/>
      <c r="C12" s="228"/>
      <c r="D12" s="228"/>
      <c r="E12" s="228"/>
      <c r="F12" s="228"/>
      <c r="G12" s="228"/>
      <c r="H12" s="228"/>
      <c r="I12" s="228"/>
      <c r="J12" s="229"/>
      <c r="K12" s="195"/>
      <c r="L12" s="196"/>
      <c r="M12" s="196"/>
      <c r="N12" s="197"/>
      <c r="O12" s="57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</row>
    <row r="13" spans="2:34" ht="45" customHeight="1" thickBot="1">
      <c r="B13" s="134" t="s">
        <v>164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9"/>
      <c r="O13" s="56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</row>
    <row r="14" spans="2:34" ht="30.6" thickBot="1">
      <c r="B14" s="206" t="s">
        <v>100</v>
      </c>
      <c r="C14" s="207"/>
      <c r="D14" s="207"/>
      <c r="E14" s="208" t="s">
        <v>101</v>
      </c>
      <c r="F14" s="208"/>
      <c r="G14" s="208"/>
      <c r="H14" s="189" t="s">
        <v>102</v>
      </c>
      <c r="I14" s="189"/>
      <c r="J14" s="189"/>
      <c r="K14" s="190" t="s">
        <v>103</v>
      </c>
      <c r="L14" s="190"/>
      <c r="M14" s="190"/>
      <c r="N14" s="191"/>
      <c r="O14" s="56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</row>
    <row r="15" spans="2:34" ht="20.25" customHeight="1">
      <c r="B15" s="125" t="s">
        <v>69</v>
      </c>
      <c r="C15" s="126" t="s">
        <v>115</v>
      </c>
      <c r="D15" s="127" t="s">
        <v>116</v>
      </c>
      <c r="E15" s="127" t="s">
        <v>69</v>
      </c>
      <c r="F15" s="127" t="s">
        <v>115</v>
      </c>
      <c r="G15" s="127" t="s">
        <v>116</v>
      </c>
      <c r="H15" s="127" t="s">
        <v>69</v>
      </c>
      <c r="I15" s="127" t="s">
        <v>115</v>
      </c>
      <c r="J15" s="127" t="s">
        <v>116</v>
      </c>
      <c r="K15" s="127" t="s">
        <v>69</v>
      </c>
      <c r="L15" s="128" t="s">
        <v>115</v>
      </c>
      <c r="M15" s="129"/>
      <c r="N15" s="130" t="s">
        <v>116</v>
      </c>
      <c r="O15" s="56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</row>
    <row r="16" spans="2:34" ht="45.6" customHeight="1">
      <c r="B16" s="135"/>
      <c r="C16" s="136" t="s">
        <v>151</v>
      </c>
      <c r="D16" s="137" t="s">
        <v>154</v>
      </c>
      <c r="E16" s="138"/>
      <c r="F16" s="139" t="s">
        <v>152</v>
      </c>
      <c r="G16" s="137" t="s">
        <v>154</v>
      </c>
      <c r="H16" s="138"/>
      <c r="I16" s="139" t="s">
        <v>153</v>
      </c>
      <c r="J16" s="140"/>
      <c r="K16" s="141"/>
      <c r="L16" s="142" t="s">
        <v>155</v>
      </c>
      <c r="M16" s="143"/>
      <c r="N16" s="144"/>
      <c r="O16" s="56"/>
      <c r="P16" s="51"/>
      <c r="Q16" s="51" t="s">
        <v>28</v>
      </c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</row>
    <row r="17" spans="1:34" ht="96.6" customHeight="1">
      <c r="B17" s="145"/>
      <c r="C17" s="146"/>
      <c r="D17" s="147"/>
      <c r="E17" s="148"/>
      <c r="F17" s="146"/>
      <c r="G17" s="149"/>
      <c r="H17" s="150"/>
      <c r="I17" s="146"/>
      <c r="J17" s="151"/>
      <c r="K17" s="152"/>
      <c r="L17" s="153"/>
      <c r="M17" s="154"/>
      <c r="N17" s="155"/>
      <c r="O17" s="56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</row>
    <row r="18" spans="1:34" s="120" customFormat="1" ht="96.6" customHeight="1">
      <c r="B18" s="145"/>
      <c r="C18" s="146"/>
      <c r="D18" s="147"/>
      <c r="E18" s="148"/>
      <c r="F18" s="146"/>
      <c r="G18" s="149"/>
      <c r="H18" s="150"/>
      <c r="I18" s="146"/>
      <c r="J18" s="151"/>
      <c r="K18" s="152"/>
      <c r="L18" s="153"/>
      <c r="M18" s="154"/>
      <c r="N18" s="155"/>
      <c r="O18" s="56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</row>
    <row r="19" spans="1:34" s="120" customFormat="1" ht="96.6" customHeight="1">
      <c r="B19" s="145"/>
      <c r="C19" s="146"/>
      <c r="D19" s="147"/>
      <c r="E19" s="148"/>
      <c r="F19" s="146"/>
      <c r="G19" s="149"/>
      <c r="H19" s="150"/>
      <c r="I19" s="146"/>
      <c r="J19" s="151"/>
      <c r="K19" s="152"/>
      <c r="L19" s="153"/>
      <c r="M19" s="154"/>
      <c r="N19" s="155"/>
      <c r="O19" s="56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</row>
    <row r="20" spans="1:34" s="120" customFormat="1" ht="96.6" customHeight="1">
      <c r="B20" s="145"/>
      <c r="C20" s="146"/>
      <c r="D20" s="147"/>
      <c r="E20" s="148"/>
      <c r="F20" s="146"/>
      <c r="G20" s="149"/>
      <c r="H20" s="150"/>
      <c r="I20" s="146"/>
      <c r="J20" s="151"/>
      <c r="K20" s="152"/>
      <c r="L20" s="153"/>
      <c r="M20" s="154"/>
      <c r="N20" s="155"/>
      <c r="O20" s="56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</row>
    <row r="21" spans="1:34" s="120" customFormat="1" ht="96.6" customHeight="1">
      <c r="B21" s="145"/>
      <c r="C21" s="146"/>
      <c r="D21" s="147"/>
      <c r="E21" s="148"/>
      <c r="F21" s="146"/>
      <c r="G21" s="149"/>
      <c r="H21" s="150"/>
      <c r="I21" s="146"/>
      <c r="J21" s="151"/>
      <c r="K21" s="152"/>
      <c r="L21" s="153"/>
      <c r="M21" s="154"/>
      <c r="N21" s="155"/>
      <c r="O21" s="56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</row>
    <row r="22" spans="1:34" s="120" customFormat="1" ht="96.6" customHeight="1">
      <c r="B22" s="145"/>
      <c r="C22" s="146"/>
      <c r="D22" s="147"/>
      <c r="E22" s="148"/>
      <c r="F22" s="146"/>
      <c r="G22" s="149"/>
      <c r="H22" s="150"/>
      <c r="I22" s="146"/>
      <c r="J22" s="151"/>
      <c r="K22" s="152"/>
      <c r="L22" s="153"/>
      <c r="M22" s="154"/>
      <c r="N22" s="155"/>
      <c r="O22" s="56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</row>
    <row r="23" spans="1:34" s="120" customFormat="1" ht="96.6" customHeight="1">
      <c r="B23" s="145"/>
      <c r="C23" s="146"/>
      <c r="D23" s="147"/>
      <c r="E23" s="148"/>
      <c r="F23" s="146"/>
      <c r="G23" s="149"/>
      <c r="H23" s="150"/>
      <c r="I23" s="146"/>
      <c r="J23" s="151"/>
      <c r="K23" s="152"/>
      <c r="L23" s="153"/>
      <c r="M23" s="154"/>
      <c r="N23" s="155"/>
      <c r="O23" s="56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</row>
    <row r="24" spans="1:34" ht="6" customHeight="1">
      <c r="B24" s="156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56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</row>
    <row r="25" spans="1:34" ht="0.75" customHeight="1">
      <c r="M25" s="112"/>
      <c r="N25" s="54"/>
      <c r="O25" s="56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</row>
    <row r="26" spans="1:34" ht="36" customHeight="1">
      <c r="B26" s="182" t="s">
        <v>134</v>
      </c>
      <c r="C26" s="182"/>
      <c r="D26" s="182"/>
      <c r="E26" s="111"/>
      <c r="F26" s="112"/>
      <c r="G26" s="112"/>
      <c r="H26" s="112"/>
      <c r="I26" s="112"/>
      <c r="J26" s="112"/>
      <c r="K26" s="112"/>
      <c r="L26" s="112"/>
      <c r="M26" s="115"/>
      <c r="N26" s="113"/>
    </row>
    <row r="27" spans="1:34" ht="1.5" customHeight="1">
      <c r="B27" s="182"/>
      <c r="C27" s="182"/>
      <c r="D27" s="182"/>
      <c r="E27" s="114"/>
      <c r="F27" s="115"/>
      <c r="G27" s="115"/>
      <c r="H27" s="115"/>
      <c r="I27" s="115"/>
      <c r="J27" s="115"/>
      <c r="K27" s="115"/>
      <c r="L27" s="115"/>
      <c r="N27" s="116"/>
    </row>
    <row r="28" spans="1:34" ht="6.75" customHeight="1">
      <c r="M28" s="106"/>
    </row>
    <row r="29" spans="1:34" ht="40.5" customHeight="1">
      <c r="B29" s="176" t="s">
        <v>133</v>
      </c>
      <c r="C29" s="177"/>
      <c r="D29" s="178"/>
      <c r="E29" s="179"/>
      <c r="F29" s="180"/>
      <c r="G29" s="180"/>
      <c r="H29" s="180"/>
      <c r="I29" s="180"/>
      <c r="J29" s="180"/>
      <c r="K29" s="181"/>
      <c r="L29" s="105" t="s">
        <v>125</v>
      </c>
      <c r="N29" s="107"/>
    </row>
    <row r="30" spans="1:34" ht="5.25" customHeight="1">
      <c r="M30" s="109"/>
    </row>
    <row r="31" spans="1:34" ht="30" customHeight="1">
      <c r="B31" s="176" t="s">
        <v>129</v>
      </c>
      <c r="C31" s="177"/>
      <c r="D31" s="178"/>
      <c r="E31" s="108"/>
      <c r="F31" s="109"/>
      <c r="G31" s="109"/>
      <c r="H31" s="109"/>
      <c r="I31" s="109"/>
      <c r="J31" s="109"/>
      <c r="K31" s="109"/>
      <c r="L31" s="109"/>
      <c r="M31" s="117"/>
      <c r="N31" s="110"/>
    </row>
    <row r="32" spans="1:34" ht="6" customHeight="1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06"/>
      <c r="N32" s="117"/>
    </row>
    <row r="33" spans="2:14">
      <c r="B33" s="198" t="s">
        <v>131</v>
      </c>
      <c r="C33" s="199"/>
      <c r="D33" s="200"/>
      <c r="E33" s="179" t="s">
        <v>165</v>
      </c>
      <c r="F33" s="180"/>
      <c r="G33" s="180"/>
      <c r="H33" s="180"/>
      <c r="I33" s="180"/>
      <c r="J33" s="180"/>
      <c r="K33" s="181"/>
      <c r="L33" s="105" t="s">
        <v>125</v>
      </c>
      <c r="N33" s="107"/>
    </row>
    <row r="34" spans="2:14" ht="6" customHeight="1">
      <c r="B34" s="99"/>
      <c r="C34" s="99"/>
      <c r="D34" s="99"/>
    </row>
  </sheetData>
  <mergeCells count="30">
    <mergeCell ref="E33:K33"/>
    <mergeCell ref="B31:D31"/>
    <mergeCell ref="B33:D33"/>
    <mergeCell ref="B2:N2"/>
    <mergeCell ref="K3:L3"/>
    <mergeCell ref="B14:D14"/>
    <mergeCell ref="E14:G14"/>
    <mergeCell ref="B5:J5"/>
    <mergeCell ref="B6:J6"/>
    <mergeCell ref="B4:J4"/>
    <mergeCell ref="B7:J7"/>
    <mergeCell ref="B10:J10"/>
    <mergeCell ref="B8:J9"/>
    <mergeCell ref="B11:J12"/>
    <mergeCell ref="K4:M4"/>
    <mergeCell ref="K10:N10"/>
    <mergeCell ref="M3:N3"/>
    <mergeCell ref="K5:M5"/>
    <mergeCell ref="K6:M6"/>
    <mergeCell ref="K7:M7"/>
    <mergeCell ref="H14:J14"/>
    <mergeCell ref="K14:N14"/>
    <mergeCell ref="K8:M8"/>
    <mergeCell ref="K9:M9"/>
    <mergeCell ref="K11:N12"/>
    <mergeCell ref="B29:D29"/>
    <mergeCell ref="E29:K29"/>
    <mergeCell ref="B26:D27"/>
    <mergeCell ref="B3:D3"/>
    <mergeCell ref="H3:J3"/>
  </mergeCells>
  <printOptions horizontalCentered="1"/>
  <pageMargins left="0.25" right="0.25" top="0.75" bottom="0.75" header="0.3" footer="0.3"/>
  <pageSetup paperSize="9"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45"/>
  <sheetViews>
    <sheetView showGridLines="0" zoomScaleNormal="100" workbookViewId="0">
      <selection activeCell="C1" sqref="C1"/>
    </sheetView>
  </sheetViews>
  <sheetFormatPr defaultColWidth="9.109375" defaultRowHeight="13.2"/>
  <cols>
    <col min="1" max="1" width="2.109375" style="41" customWidth="1"/>
    <col min="2" max="2" width="3.6640625" style="41" customWidth="1"/>
    <col min="3" max="3" width="16.109375" style="41" customWidth="1"/>
    <col min="4" max="4" width="4.109375" style="41" customWidth="1"/>
    <col min="5" max="5" width="10" style="41" customWidth="1"/>
    <col min="6" max="6" width="18.5546875" style="41" customWidth="1"/>
    <col min="7" max="7" width="15" style="41" customWidth="1"/>
    <col min="8" max="8" width="12.88671875" style="41" customWidth="1"/>
    <col min="9" max="9" width="5.5546875" style="41" customWidth="1"/>
    <col min="10" max="10" width="8.5546875" style="41" bestFit="1" customWidth="1"/>
    <col min="11" max="11" width="7.109375" style="41" customWidth="1"/>
    <col min="12" max="12" width="10.33203125" style="41" customWidth="1"/>
    <col min="13" max="13" width="9.5546875" style="41" customWidth="1"/>
    <col min="14" max="14" width="11" style="41" customWidth="1"/>
    <col min="15" max="16384" width="9.109375" style="41"/>
  </cols>
  <sheetData>
    <row r="2" spans="2:13" ht="21" customHeight="1">
      <c r="B2" s="264" t="s">
        <v>55</v>
      </c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</row>
    <row r="3" spans="2:13" ht="18.75" customHeight="1">
      <c r="B3" s="263" t="s">
        <v>0</v>
      </c>
      <c r="C3" s="263"/>
      <c r="D3" s="265" t="s">
        <v>146</v>
      </c>
      <c r="E3" s="266"/>
      <c r="F3" s="266"/>
      <c r="G3" s="267"/>
      <c r="H3" s="280" t="s">
        <v>56</v>
      </c>
      <c r="I3" s="281"/>
      <c r="J3" s="272"/>
      <c r="K3" s="273"/>
      <c r="L3" s="273"/>
      <c r="M3" s="274"/>
    </row>
    <row r="4" spans="2:13" ht="25.5" customHeight="1">
      <c r="B4" s="263" t="s">
        <v>110</v>
      </c>
      <c r="C4" s="263"/>
      <c r="D4" s="268" t="s">
        <v>135</v>
      </c>
      <c r="E4" s="269"/>
      <c r="F4" s="269"/>
      <c r="G4" s="270"/>
      <c r="H4" s="278" t="s">
        <v>127</v>
      </c>
      <c r="I4" s="279"/>
      <c r="J4" s="268" t="s">
        <v>149</v>
      </c>
      <c r="K4" s="269"/>
      <c r="L4" s="269"/>
      <c r="M4" s="270"/>
    </row>
    <row r="5" spans="2:13" ht="25.5" customHeight="1">
      <c r="B5" s="263" t="s">
        <v>2</v>
      </c>
      <c r="C5" s="263"/>
      <c r="D5" s="258" t="s">
        <v>147</v>
      </c>
      <c r="E5" s="271"/>
      <c r="F5" s="271"/>
      <c r="G5" s="259"/>
      <c r="H5" s="282" t="s">
        <v>126</v>
      </c>
      <c r="I5" s="283"/>
      <c r="J5" s="275">
        <f>M13</f>
        <v>0</v>
      </c>
      <c r="K5" s="276"/>
      <c r="L5" s="276"/>
      <c r="M5" s="277"/>
    </row>
    <row r="6" spans="2:13" ht="24.75" customHeight="1">
      <c r="B6" s="260" t="s">
        <v>4</v>
      </c>
      <c r="C6" s="260"/>
      <c r="D6" s="260"/>
      <c r="E6" s="260"/>
      <c r="F6" s="258" t="s">
        <v>148</v>
      </c>
      <c r="G6" s="259"/>
      <c r="H6" s="46"/>
      <c r="I6" s="65"/>
      <c r="J6" s="65"/>
      <c r="K6" s="253" t="e">
        <f>0.5*(M13+#REF!)</f>
        <v>#REF!</v>
      </c>
      <c r="L6" s="253"/>
      <c r="M6" s="253"/>
    </row>
    <row r="7" spans="2:13" ht="18.75" customHeight="1">
      <c r="B7" s="254" t="s">
        <v>70</v>
      </c>
      <c r="C7" s="254"/>
      <c r="D7" s="254"/>
      <c r="E7" s="254"/>
      <c r="F7" s="254"/>
      <c r="G7" s="254"/>
      <c r="H7" s="254"/>
      <c r="I7" s="254"/>
      <c r="J7" s="255" t="s">
        <v>111</v>
      </c>
      <c r="K7" s="256" t="s">
        <v>72</v>
      </c>
      <c r="L7" s="261" t="s">
        <v>122</v>
      </c>
      <c r="M7" s="262" t="s">
        <v>112</v>
      </c>
    </row>
    <row r="8" spans="2:13" ht="33.75" customHeight="1">
      <c r="B8" s="66" t="s">
        <v>73</v>
      </c>
      <c r="C8" s="67"/>
      <c r="D8" s="67"/>
      <c r="E8" s="67"/>
      <c r="F8" s="67"/>
      <c r="G8" s="67"/>
      <c r="H8" s="67"/>
      <c r="I8" s="67"/>
      <c r="J8" s="255"/>
      <c r="K8" s="256"/>
      <c r="L8" s="261"/>
      <c r="M8" s="262"/>
    </row>
    <row r="9" spans="2:13" ht="45.75" customHeight="1">
      <c r="B9" s="44" t="s">
        <v>8</v>
      </c>
      <c r="C9" s="257" t="s">
        <v>150</v>
      </c>
      <c r="D9" s="257"/>
      <c r="E9" s="257"/>
      <c r="F9" s="257"/>
      <c r="G9" s="257"/>
      <c r="H9" s="257"/>
      <c r="I9" s="257"/>
      <c r="J9" s="75">
        <v>0.25</v>
      </c>
      <c r="K9" s="42">
        <v>25</v>
      </c>
      <c r="L9" s="42"/>
      <c r="M9" s="76">
        <f>L9*J9</f>
        <v>0</v>
      </c>
    </row>
    <row r="10" spans="2:13" ht="46.5" customHeight="1">
      <c r="B10" s="44" t="s">
        <v>9</v>
      </c>
      <c r="C10" s="242"/>
      <c r="D10" s="243"/>
      <c r="E10" s="243"/>
      <c r="F10" s="243"/>
      <c r="G10" s="243"/>
      <c r="H10" s="243"/>
      <c r="I10" s="243"/>
      <c r="J10" s="75">
        <v>0.25</v>
      </c>
      <c r="K10" s="42">
        <v>25</v>
      </c>
      <c r="L10" s="42"/>
      <c r="M10" s="76">
        <f t="shared" ref="M10:M12" si="0">L10*J10</f>
        <v>0</v>
      </c>
    </row>
    <row r="11" spans="2:13" ht="46.5" customHeight="1">
      <c r="B11" s="44" t="s">
        <v>10</v>
      </c>
      <c r="C11" s="242"/>
      <c r="D11" s="243"/>
      <c r="E11" s="243"/>
      <c r="F11" s="243"/>
      <c r="G11" s="243"/>
      <c r="H11" s="243"/>
      <c r="I11" s="243"/>
      <c r="J11" s="75">
        <v>0.25</v>
      </c>
      <c r="K11" s="42">
        <v>25</v>
      </c>
      <c r="L11" s="42"/>
      <c r="M11" s="76">
        <f t="shared" si="0"/>
        <v>0</v>
      </c>
    </row>
    <row r="12" spans="2:13" ht="31.5" customHeight="1">
      <c r="B12" s="44" t="s">
        <v>11</v>
      </c>
      <c r="C12" s="242"/>
      <c r="D12" s="243"/>
      <c r="E12" s="243"/>
      <c r="F12" s="243"/>
      <c r="G12" s="243"/>
      <c r="H12" s="243"/>
      <c r="I12" s="243"/>
      <c r="J12" s="75">
        <v>0.25</v>
      </c>
      <c r="K12" s="42">
        <v>25</v>
      </c>
      <c r="L12" s="42"/>
      <c r="M12" s="76">
        <f t="shared" si="0"/>
        <v>0</v>
      </c>
    </row>
    <row r="13" spans="2:13" ht="13.8">
      <c r="B13" s="68" t="s">
        <v>71</v>
      </c>
      <c r="C13" s="69"/>
      <c r="D13" s="244" t="s">
        <v>57</v>
      </c>
      <c r="E13" s="244"/>
      <c r="F13" s="244"/>
      <c r="G13" s="244"/>
      <c r="H13" s="244"/>
      <c r="I13" s="244"/>
      <c r="J13" s="70">
        <f>SUM(J9:J12)</f>
        <v>1</v>
      </c>
      <c r="K13" s="70"/>
      <c r="L13" s="71"/>
      <c r="M13" s="72">
        <f>SUM(M9:M12)</f>
        <v>0</v>
      </c>
    </row>
    <row r="14" spans="2:13" hidden="1">
      <c r="B14" s="245"/>
      <c r="C14" s="245"/>
      <c r="D14" s="245"/>
      <c r="E14" s="245"/>
      <c r="F14" s="245"/>
      <c r="G14" s="245"/>
      <c r="H14" s="245"/>
      <c r="I14" s="245"/>
      <c r="J14" s="245"/>
      <c r="K14" s="245"/>
      <c r="L14" s="245"/>
      <c r="M14" s="245"/>
    </row>
    <row r="15" spans="2:13" hidden="1">
      <c r="B15" s="248" t="s">
        <v>13</v>
      </c>
      <c r="C15" s="248"/>
      <c r="D15" s="248"/>
      <c r="E15" s="248"/>
      <c r="F15" s="248"/>
      <c r="G15" s="248"/>
      <c r="H15" s="248" t="s">
        <v>74</v>
      </c>
      <c r="I15" s="248"/>
      <c r="J15" s="248"/>
      <c r="K15" s="248"/>
      <c r="L15" s="248"/>
      <c r="M15" s="248"/>
    </row>
    <row r="16" spans="2:13" hidden="1">
      <c r="B16" s="245"/>
      <c r="C16" s="245"/>
      <c r="D16" s="245"/>
      <c r="E16" s="245"/>
      <c r="F16" s="245"/>
      <c r="G16" s="245"/>
      <c r="H16" s="246"/>
      <c r="I16" s="246"/>
      <c r="J16" s="246"/>
      <c r="K16" s="246"/>
      <c r="L16" s="246"/>
      <c r="M16" s="246"/>
    </row>
    <row r="17" spans="2:13" hidden="1">
      <c r="B17" s="247" t="s">
        <v>81</v>
      </c>
      <c r="C17" s="247"/>
      <c r="D17" s="247"/>
      <c r="E17" s="247"/>
      <c r="F17" s="73" t="s">
        <v>85</v>
      </c>
      <c r="G17" s="238" t="s">
        <v>82</v>
      </c>
      <c r="H17" s="238"/>
      <c r="I17" s="238" t="s">
        <v>85</v>
      </c>
      <c r="J17" s="238"/>
      <c r="K17" s="238"/>
      <c r="L17" s="238"/>
      <c r="M17" s="238"/>
    </row>
    <row r="18" spans="2:13" hidden="1">
      <c r="B18" s="235" t="s">
        <v>75</v>
      </c>
      <c r="C18" s="235"/>
      <c r="D18" s="235"/>
      <c r="E18" s="47"/>
      <c r="F18" s="45"/>
      <c r="G18" s="58" t="s">
        <v>80</v>
      </c>
      <c r="H18" s="45"/>
      <c r="I18" s="240" t="s">
        <v>86</v>
      </c>
      <c r="J18" s="240"/>
      <c r="K18" s="240"/>
      <c r="L18" s="240"/>
      <c r="M18" s="240"/>
    </row>
    <row r="19" spans="2:13" hidden="1">
      <c r="B19" s="235" t="s">
        <v>76</v>
      </c>
      <c r="C19" s="235"/>
      <c r="D19" s="235"/>
      <c r="E19" s="47"/>
      <c r="F19" s="45"/>
      <c r="G19" s="58" t="s">
        <v>79</v>
      </c>
      <c r="H19" s="45"/>
      <c r="I19" s="240" t="s">
        <v>87</v>
      </c>
      <c r="J19" s="240"/>
      <c r="K19" s="240"/>
      <c r="L19" s="240"/>
      <c r="M19" s="240"/>
    </row>
    <row r="20" spans="2:13" ht="13.8" hidden="1">
      <c r="B20" s="235" t="s">
        <v>77</v>
      </c>
      <c r="C20" s="235"/>
      <c r="D20" s="235"/>
      <c r="E20" s="47"/>
      <c r="F20" s="45"/>
      <c r="G20" s="58" t="s">
        <v>83</v>
      </c>
      <c r="H20" s="74"/>
      <c r="I20" s="235" t="s">
        <v>89</v>
      </c>
      <c r="J20" s="235"/>
      <c r="K20" s="235"/>
      <c r="L20" s="235"/>
      <c r="M20" s="235"/>
    </row>
    <row r="21" spans="2:13" hidden="1">
      <c r="B21" s="235" t="s">
        <v>78</v>
      </c>
      <c r="C21" s="235"/>
      <c r="D21" s="235"/>
      <c r="E21" s="46"/>
      <c r="F21" s="43"/>
      <c r="G21" s="58" t="s">
        <v>84</v>
      </c>
      <c r="H21" s="45"/>
      <c r="I21" s="241" t="s">
        <v>88</v>
      </c>
      <c r="J21" s="241"/>
      <c r="K21" s="241"/>
      <c r="L21" s="241"/>
      <c r="M21" s="241"/>
    </row>
    <row r="22" spans="2:13" ht="56.25" hidden="1" customHeight="1">
      <c r="B22" s="237"/>
      <c r="C22" s="237"/>
      <c r="D22" s="237"/>
      <c r="E22" s="237"/>
      <c r="F22" s="237"/>
      <c r="G22" s="237"/>
      <c r="H22" s="237"/>
      <c r="I22" s="237"/>
      <c r="J22" s="237"/>
      <c r="K22" s="237"/>
      <c r="L22" s="237"/>
      <c r="M22" s="237"/>
    </row>
    <row r="23" spans="2:13" ht="54.75" hidden="1" customHeight="1">
      <c r="B23" s="237"/>
      <c r="C23" s="237"/>
      <c r="D23" s="237"/>
      <c r="E23" s="237"/>
      <c r="F23" s="237"/>
      <c r="G23" s="237"/>
      <c r="H23" s="237"/>
      <c r="I23" s="237"/>
      <c r="J23" s="237"/>
      <c r="K23" s="237"/>
      <c r="L23" s="237"/>
      <c r="M23" s="237"/>
    </row>
    <row r="24" spans="2:13" s="48" customFormat="1" ht="18" customHeight="1">
      <c r="B24" s="252" t="s">
        <v>13</v>
      </c>
      <c r="C24" s="252"/>
      <c r="D24" s="252"/>
      <c r="E24" s="252"/>
      <c r="F24" s="252"/>
      <c r="G24" s="252"/>
      <c r="H24" s="252" t="s">
        <v>74</v>
      </c>
      <c r="I24" s="252"/>
      <c r="J24" s="252"/>
      <c r="K24" s="252"/>
      <c r="L24" s="252"/>
      <c r="M24" s="252"/>
    </row>
    <row r="25" spans="2:13" ht="51.75" customHeight="1">
      <c r="B25" s="245" t="s">
        <v>166</v>
      </c>
      <c r="C25" s="245"/>
      <c r="D25" s="245"/>
      <c r="E25" s="245"/>
      <c r="F25" s="245"/>
      <c r="G25" s="245"/>
      <c r="H25" s="246"/>
      <c r="I25" s="246"/>
      <c r="J25" s="246"/>
      <c r="K25" s="246"/>
      <c r="L25" s="246"/>
      <c r="M25" s="246"/>
    </row>
    <row r="26" spans="2:13" s="50" customFormat="1" ht="31.5" customHeight="1">
      <c r="B26" s="239" t="s">
        <v>120</v>
      </c>
      <c r="C26" s="239"/>
      <c r="D26" s="239"/>
      <c r="E26" s="236" t="s">
        <v>108</v>
      </c>
      <c r="F26" s="236"/>
      <c r="G26" s="236"/>
      <c r="H26" s="236" t="s">
        <v>85</v>
      </c>
      <c r="I26" s="236"/>
      <c r="J26" s="236"/>
      <c r="K26" s="236"/>
      <c r="L26" s="236"/>
      <c r="M26" s="236"/>
    </row>
    <row r="27" spans="2:13" s="49" customFormat="1" ht="65.25" customHeight="1">
      <c r="B27" s="249" t="s">
        <v>119</v>
      </c>
      <c r="C27" s="249"/>
      <c r="D27" s="249"/>
      <c r="E27" s="250">
        <v>5</v>
      </c>
      <c r="F27" s="250"/>
      <c r="G27" s="250"/>
      <c r="H27" s="251" t="s">
        <v>167</v>
      </c>
      <c r="I27" s="251"/>
      <c r="J27" s="251"/>
      <c r="K27" s="251"/>
      <c r="L27" s="251"/>
      <c r="M27" s="251"/>
    </row>
    <row r="28" spans="2:13" s="49" customFormat="1" ht="65.25" customHeight="1">
      <c r="B28" s="249" t="s">
        <v>75</v>
      </c>
      <c r="C28" s="249"/>
      <c r="D28" s="249"/>
      <c r="E28" s="250">
        <v>4</v>
      </c>
      <c r="F28" s="250"/>
      <c r="G28" s="250"/>
      <c r="H28" s="251"/>
      <c r="I28" s="251"/>
      <c r="J28" s="251"/>
      <c r="K28" s="251"/>
      <c r="L28" s="251"/>
      <c r="M28" s="251"/>
    </row>
    <row r="29" spans="2:13" s="49" customFormat="1" ht="65.25" customHeight="1">
      <c r="B29" s="249" t="s">
        <v>76</v>
      </c>
      <c r="C29" s="249"/>
      <c r="D29" s="249"/>
      <c r="E29" s="250">
        <v>3</v>
      </c>
      <c r="F29" s="250"/>
      <c r="G29" s="250"/>
      <c r="H29" s="251"/>
      <c r="I29" s="251"/>
      <c r="J29" s="251"/>
      <c r="K29" s="251"/>
      <c r="L29" s="251"/>
      <c r="M29" s="251"/>
    </row>
    <row r="30" spans="2:13" s="49" customFormat="1" ht="65.25" customHeight="1">
      <c r="B30" s="249" t="s">
        <v>77</v>
      </c>
      <c r="C30" s="249"/>
      <c r="D30" s="249"/>
      <c r="E30" s="250">
        <v>2</v>
      </c>
      <c r="F30" s="250"/>
      <c r="G30" s="250"/>
      <c r="H30" s="249"/>
      <c r="I30" s="249"/>
      <c r="J30" s="249"/>
      <c r="K30" s="249"/>
      <c r="L30" s="249"/>
      <c r="M30" s="249"/>
    </row>
    <row r="31" spans="2:13" s="49" customFormat="1" ht="65.25" customHeight="1">
      <c r="B31" s="249" t="s">
        <v>118</v>
      </c>
      <c r="C31" s="249"/>
      <c r="D31" s="249"/>
      <c r="E31" s="250">
        <v>1</v>
      </c>
      <c r="F31" s="250"/>
      <c r="G31" s="250"/>
      <c r="H31" s="290"/>
      <c r="I31" s="290"/>
      <c r="J31" s="290"/>
      <c r="K31" s="290"/>
      <c r="L31" s="290"/>
      <c r="M31" s="290"/>
    </row>
    <row r="32" spans="2:13" s="49" customFormat="1" ht="6" customHeight="1">
      <c r="B32" s="96"/>
      <c r="C32" s="96"/>
      <c r="D32" s="96"/>
      <c r="E32" s="97"/>
      <c r="F32" s="97"/>
      <c r="G32" s="97"/>
      <c r="H32" s="98"/>
      <c r="I32" s="98"/>
      <c r="J32" s="98"/>
      <c r="K32" s="98"/>
      <c r="L32" s="98"/>
      <c r="M32" s="98"/>
    </row>
    <row r="33" spans="2:13" s="49" customFormat="1" ht="27" customHeight="1">
      <c r="B33" s="284" t="s">
        <v>128</v>
      </c>
      <c r="C33" s="285"/>
      <c r="D33" s="286"/>
      <c r="E33" s="287"/>
      <c r="F33" s="288"/>
      <c r="G33" s="288"/>
      <c r="H33" s="288"/>
      <c r="I33" s="288"/>
      <c r="J33" s="288"/>
      <c r="K33" s="289"/>
      <c r="L33" s="198" t="s">
        <v>125</v>
      </c>
      <c r="M33" s="200"/>
    </row>
    <row r="34" spans="2:13" ht="6.75" customHeight="1"/>
    <row r="35" spans="2:13" ht="31.5" customHeight="1">
      <c r="B35" s="176" t="s">
        <v>134</v>
      </c>
      <c r="C35" s="177"/>
      <c r="D35" s="178"/>
      <c r="E35" s="179"/>
      <c r="F35" s="180"/>
      <c r="G35" s="180"/>
      <c r="H35" s="180"/>
      <c r="I35" s="180"/>
      <c r="J35" s="180"/>
      <c r="K35" s="180"/>
      <c r="L35" s="180"/>
      <c r="M35" s="181"/>
    </row>
    <row r="36" spans="2:13" ht="8.25" customHeight="1"/>
    <row r="37" spans="2:13" ht="12.75" customHeight="1">
      <c r="B37" s="291" t="s">
        <v>133</v>
      </c>
      <c r="C37" s="292"/>
      <c r="D37" s="293"/>
      <c r="E37" s="297"/>
      <c r="F37" s="298"/>
      <c r="G37" s="298"/>
      <c r="H37" s="298"/>
      <c r="I37" s="298"/>
      <c r="J37" s="298"/>
      <c r="K37" s="299"/>
      <c r="L37" s="303" t="s">
        <v>125</v>
      </c>
      <c r="M37" s="304"/>
    </row>
    <row r="38" spans="2:13" ht="27" customHeight="1">
      <c r="B38" s="294"/>
      <c r="C38" s="295"/>
      <c r="D38" s="296"/>
      <c r="E38" s="300"/>
      <c r="F38" s="301"/>
      <c r="G38" s="301"/>
      <c r="H38" s="301"/>
      <c r="I38" s="301"/>
      <c r="J38" s="301"/>
      <c r="K38" s="302"/>
      <c r="L38" s="305"/>
      <c r="M38" s="306"/>
    </row>
    <row r="39" spans="2:13" ht="7.5" customHeight="1"/>
    <row r="40" spans="2:13">
      <c r="B40" s="291" t="s">
        <v>129</v>
      </c>
      <c r="C40" s="292"/>
      <c r="D40" s="293"/>
      <c r="E40" s="297"/>
      <c r="F40" s="298"/>
      <c r="G40" s="298"/>
      <c r="H40" s="298"/>
      <c r="I40" s="298"/>
      <c r="J40" s="298"/>
      <c r="K40" s="298"/>
      <c r="L40" s="298"/>
      <c r="M40" s="299"/>
    </row>
    <row r="41" spans="2:13" ht="19.5" customHeight="1">
      <c r="B41" s="294"/>
      <c r="C41" s="295"/>
      <c r="D41" s="296"/>
      <c r="E41" s="300"/>
      <c r="F41" s="301"/>
      <c r="G41" s="301"/>
      <c r="H41" s="301"/>
      <c r="I41" s="301"/>
      <c r="J41" s="301"/>
      <c r="K41" s="301"/>
      <c r="L41" s="301"/>
      <c r="M41" s="302"/>
    </row>
    <row r="42" spans="2:13" ht="6.75" customHeight="1"/>
    <row r="43" spans="2:13">
      <c r="B43" s="303" t="s">
        <v>131</v>
      </c>
      <c r="C43" s="307"/>
      <c r="D43" s="304"/>
      <c r="E43" s="297"/>
      <c r="F43" s="298"/>
      <c r="G43" s="298"/>
      <c r="H43" s="298"/>
      <c r="I43" s="298"/>
      <c r="J43" s="298"/>
      <c r="K43" s="299"/>
      <c r="L43" s="303" t="s">
        <v>125</v>
      </c>
      <c r="M43" s="304"/>
    </row>
    <row r="44" spans="2:13">
      <c r="B44" s="308"/>
      <c r="C44" s="309"/>
      <c r="D44" s="310"/>
      <c r="E44" s="312"/>
      <c r="F44" s="313"/>
      <c r="G44" s="313"/>
      <c r="H44" s="313"/>
      <c r="I44" s="313"/>
      <c r="J44" s="313"/>
      <c r="K44" s="314"/>
      <c r="L44" s="308"/>
      <c r="M44" s="310"/>
    </row>
    <row r="45" spans="2:13">
      <c r="B45" s="305"/>
      <c r="C45" s="311"/>
      <c r="D45" s="306"/>
      <c r="E45" s="300"/>
      <c r="F45" s="301"/>
      <c r="G45" s="301"/>
      <c r="H45" s="301"/>
      <c r="I45" s="301"/>
      <c r="J45" s="301"/>
      <c r="K45" s="302"/>
      <c r="L45" s="305"/>
      <c r="M45" s="306"/>
    </row>
  </sheetData>
  <mergeCells count="78">
    <mergeCell ref="B40:D41"/>
    <mergeCell ref="E40:M41"/>
    <mergeCell ref="B43:D45"/>
    <mergeCell ref="E43:K45"/>
    <mergeCell ref="L43:M45"/>
    <mergeCell ref="B35:D35"/>
    <mergeCell ref="E35:M35"/>
    <mergeCell ref="B37:D38"/>
    <mergeCell ref="E37:K38"/>
    <mergeCell ref="L37:M38"/>
    <mergeCell ref="B33:D33"/>
    <mergeCell ref="E33:K33"/>
    <mergeCell ref="L33:M33"/>
    <mergeCell ref="B31:D31"/>
    <mergeCell ref="B28:D28"/>
    <mergeCell ref="H28:M28"/>
    <mergeCell ref="H29:M29"/>
    <mergeCell ref="H30:M30"/>
    <mergeCell ref="H31:M31"/>
    <mergeCell ref="E31:G31"/>
    <mergeCell ref="E29:G29"/>
    <mergeCell ref="E30:G30"/>
    <mergeCell ref="B29:D29"/>
    <mergeCell ref="E28:G28"/>
    <mergeCell ref="B30:D30"/>
    <mergeCell ref="B5:C5"/>
    <mergeCell ref="B2:M2"/>
    <mergeCell ref="B3:C3"/>
    <mergeCell ref="B4:C4"/>
    <mergeCell ref="D3:G3"/>
    <mergeCell ref="D4:G4"/>
    <mergeCell ref="D5:G5"/>
    <mergeCell ref="J3:M3"/>
    <mergeCell ref="J5:M5"/>
    <mergeCell ref="J4:M4"/>
    <mergeCell ref="H4:I4"/>
    <mergeCell ref="H3:I3"/>
    <mergeCell ref="H5:I5"/>
    <mergeCell ref="K6:M6"/>
    <mergeCell ref="B7:I7"/>
    <mergeCell ref="J7:J8"/>
    <mergeCell ref="K7:K8"/>
    <mergeCell ref="C9:I9"/>
    <mergeCell ref="F6:G6"/>
    <mergeCell ref="B6:E6"/>
    <mergeCell ref="L7:L8"/>
    <mergeCell ref="M7:M8"/>
    <mergeCell ref="B27:D27"/>
    <mergeCell ref="E27:G27"/>
    <mergeCell ref="H27:M27"/>
    <mergeCell ref="B24:G24"/>
    <mergeCell ref="E26:G26"/>
    <mergeCell ref="B25:G25"/>
    <mergeCell ref="H25:M25"/>
    <mergeCell ref="H24:M24"/>
    <mergeCell ref="C10:I10"/>
    <mergeCell ref="C11:I11"/>
    <mergeCell ref="C12:I12"/>
    <mergeCell ref="B19:D19"/>
    <mergeCell ref="I19:M19"/>
    <mergeCell ref="D13:I13"/>
    <mergeCell ref="B14:M14"/>
    <mergeCell ref="H16:M16"/>
    <mergeCell ref="B17:E17"/>
    <mergeCell ref="B15:G15"/>
    <mergeCell ref="H15:M15"/>
    <mergeCell ref="B16:G16"/>
    <mergeCell ref="B20:D20"/>
    <mergeCell ref="I20:M20"/>
    <mergeCell ref="H26:M26"/>
    <mergeCell ref="B22:M23"/>
    <mergeCell ref="G17:H17"/>
    <mergeCell ref="I17:M17"/>
    <mergeCell ref="B26:D26"/>
    <mergeCell ref="I18:M18"/>
    <mergeCell ref="B18:D18"/>
    <mergeCell ref="B21:D21"/>
    <mergeCell ref="I21:M21"/>
  </mergeCells>
  <printOptions horizontalCentered="1"/>
  <pageMargins left="0.25" right="0.25" top="0.75" bottom="0.75" header="0.3" footer="0.3"/>
  <pageSetup paperSize="9" scale="79" orientation="portrait" verticalDpi="300" r:id="rId1"/>
  <ignoredErrors>
    <ignoredError sqref="K6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H47"/>
  <sheetViews>
    <sheetView showGridLines="0" tabSelected="1" topLeftCell="A23" zoomScaleNormal="100" workbookViewId="0">
      <selection activeCell="C48" sqref="C48"/>
    </sheetView>
  </sheetViews>
  <sheetFormatPr defaultColWidth="9.109375" defaultRowHeight="13.8"/>
  <cols>
    <col min="1" max="1" width="2.109375" style="78" customWidth="1"/>
    <col min="2" max="2" width="19.88671875" style="77" customWidth="1"/>
    <col min="3" max="3" width="69.5546875" style="78" bestFit="1" customWidth="1"/>
    <col min="4" max="7" width="9.109375" style="78"/>
    <col min="8" max="8" width="13.88671875" style="78" customWidth="1"/>
    <col min="9" max="16384" width="9.109375" style="78"/>
  </cols>
  <sheetData>
    <row r="1" spans="2:8" ht="14.4" thickBot="1"/>
    <row r="2" spans="2:8" ht="26.4" thickBot="1">
      <c r="B2" s="341" t="s">
        <v>117</v>
      </c>
      <c r="C2" s="342"/>
      <c r="D2" s="342"/>
      <c r="E2" s="342"/>
      <c r="F2" s="342"/>
      <c r="G2" s="342"/>
      <c r="H2" s="343"/>
    </row>
    <row r="3" spans="2:8" s="82" customFormat="1" ht="16.2" thickBot="1">
      <c r="B3" s="79" t="s">
        <v>104</v>
      </c>
      <c r="C3" s="80" t="s">
        <v>97</v>
      </c>
      <c r="D3" s="344" t="s">
        <v>98</v>
      </c>
      <c r="E3" s="344"/>
      <c r="F3" s="325" t="s">
        <v>99</v>
      </c>
      <c r="G3" s="326"/>
      <c r="H3" s="81" t="s">
        <v>69</v>
      </c>
    </row>
    <row r="4" spans="2:8" ht="14.4" thickBot="1">
      <c r="B4" s="83" t="s">
        <v>135</v>
      </c>
      <c r="C4" s="102" t="s">
        <v>136</v>
      </c>
      <c r="D4" s="327" t="s">
        <v>137</v>
      </c>
      <c r="E4" s="328"/>
      <c r="F4" s="327" t="s">
        <v>138</v>
      </c>
      <c r="G4" s="328"/>
      <c r="H4" s="84" t="s">
        <v>139</v>
      </c>
    </row>
    <row r="5" spans="2:8" ht="16.2" thickBot="1">
      <c r="B5" s="85" t="s">
        <v>63</v>
      </c>
      <c r="C5" s="322" t="s">
        <v>105</v>
      </c>
      <c r="D5" s="323"/>
      <c r="E5" s="323"/>
      <c r="F5" s="323"/>
      <c r="G5" s="323"/>
      <c r="H5" s="324"/>
    </row>
    <row r="6" spans="2:8" ht="15.6">
      <c r="B6" s="86">
        <v>1</v>
      </c>
      <c r="C6" s="121" t="s">
        <v>156</v>
      </c>
      <c r="D6" s="338"/>
      <c r="E6" s="339"/>
      <c r="F6" s="339"/>
      <c r="G6" s="339"/>
      <c r="H6" s="340"/>
    </row>
    <row r="7" spans="2:8" ht="15.6">
      <c r="B7" s="86">
        <v>2</v>
      </c>
      <c r="C7" s="103"/>
      <c r="D7" s="338"/>
      <c r="E7" s="339"/>
      <c r="F7" s="339"/>
      <c r="G7" s="339"/>
      <c r="H7" s="340"/>
    </row>
    <row r="8" spans="2:8" ht="15.6">
      <c r="B8" s="86">
        <v>3</v>
      </c>
      <c r="C8" s="104"/>
      <c r="D8" s="338"/>
      <c r="E8" s="339"/>
      <c r="F8" s="339"/>
      <c r="G8" s="339"/>
      <c r="H8" s="340"/>
    </row>
    <row r="9" spans="2:8" ht="16.2" thickBot="1">
      <c r="B9" s="86">
        <v>4</v>
      </c>
      <c r="C9" s="87"/>
      <c r="D9" s="338"/>
      <c r="E9" s="339"/>
      <c r="F9" s="339"/>
      <c r="G9" s="339"/>
      <c r="H9" s="340"/>
    </row>
    <row r="10" spans="2:8" ht="16.2" thickBot="1">
      <c r="B10" s="88" t="s">
        <v>92</v>
      </c>
      <c r="C10" s="348" t="s">
        <v>113</v>
      </c>
      <c r="D10" s="349"/>
      <c r="E10" s="349"/>
      <c r="F10" s="349"/>
      <c r="G10" s="349"/>
      <c r="H10" s="350"/>
    </row>
    <row r="11" spans="2:8" ht="15.6">
      <c r="B11" s="89">
        <v>1</v>
      </c>
      <c r="C11" s="345" t="s">
        <v>157</v>
      </c>
      <c r="D11" s="339"/>
      <c r="E11" s="339"/>
      <c r="F11" s="339"/>
      <c r="G11" s="339"/>
      <c r="H11" s="346"/>
    </row>
    <row r="12" spans="2:8" ht="15.6">
      <c r="B12" s="89">
        <v>2</v>
      </c>
      <c r="C12" s="345" t="s">
        <v>158</v>
      </c>
      <c r="D12" s="339"/>
      <c r="E12" s="339"/>
      <c r="F12" s="339"/>
      <c r="G12" s="339"/>
      <c r="H12" s="346"/>
    </row>
    <row r="13" spans="2:8" ht="15.6">
      <c r="B13" s="89">
        <v>3</v>
      </c>
      <c r="C13" s="347"/>
      <c r="D13" s="339"/>
      <c r="E13" s="339"/>
      <c r="F13" s="339"/>
      <c r="G13" s="339"/>
      <c r="H13" s="346"/>
    </row>
    <row r="14" spans="2:8" ht="16.2" thickBot="1">
      <c r="B14" s="90">
        <v>4</v>
      </c>
      <c r="C14" s="321"/>
      <c r="D14" s="319"/>
      <c r="E14" s="319"/>
      <c r="F14" s="319"/>
      <c r="G14" s="319"/>
      <c r="H14" s="320"/>
    </row>
    <row r="15" spans="2:8" ht="16.2" thickBot="1">
      <c r="B15" s="91" t="s">
        <v>93</v>
      </c>
      <c r="C15" s="329" t="s">
        <v>107</v>
      </c>
      <c r="D15" s="330"/>
      <c r="E15" s="330"/>
      <c r="F15" s="330"/>
      <c r="G15" s="330"/>
      <c r="H15" s="331"/>
    </row>
    <row r="16" spans="2:8" ht="15.6">
      <c r="B16" s="86">
        <v>1</v>
      </c>
      <c r="C16" s="332"/>
      <c r="D16" s="333"/>
      <c r="E16" s="333"/>
      <c r="F16" s="333"/>
      <c r="G16" s="333"/>
      <c r="H16" s="334"/>
    </row>
    <row r="17" spans="2:8" ht="15.6">
      <c r="B17" s="86">
        <v>2</v>
      </c>
      <c r="C17" s="321"/>
      <c r="D17" s="319"/>
      <c r="E17" s="319"/>
      <c r="F17" s="319"/>
      <c r="G17" s="319"/>
      <c r="H17" s="320"/>
    </row>
    <row r="18" spans="2:8" ht="29.25" customHeight="1">
      <c r="B18" s="92">
        <v>3</v>
      </c>
      <c r="C18" s="321"/>
      <c r="D18" s="319"/>
      <c r="E18" s="319"/>
      <c r="F18" s="319"/>
      <c r="G18" s="319"/>
      <c r="H18" s="320"/>
    </row>
    <row r="19" spans="2:8" ht="28.5" customHeight="1" thickBot="1">
      <c r="B19" s="92">
        <v>4</v>
      </c>
      <c r="C19" s="321"/>
      <c r="D19" s="319"/>
      <c r="E19" s="319"/>
      <c r="F19" s="319"/>
      <c r="G19" s="319"/>
      <c r="H19" s="320"/>
    </row>
    <row r="20" spans="2:8" ht="16.2" thickBot="1">
      <c r="B20" s="93" t="s">
        <v>94</v>
      </c>
      <c r="C20" s="335" t="s">
        <v>95</v>
      </c>
      <c r="D20" s="336"/>
      <c r="E20" s="336"/>
      <c r="F20" s="336"/>
      <c r="G20" s="336"/>
      <c r="H20" s="337"/>
    </row>
    <row r="21" spans="2:8" ht="15.6">
      <c r="B21" s="89">
        <v>1</v>
      </c>
      <c r="C21" s="318" t="s">
        <v>159</v>
      </c>
      <c r="D21" s="319"/>
      <c r="E21" s="319"/>
      <c r="F21" s="319"/>
      <c r="G21" s="319"/>
      <c r="H21" s="320"/>
    </row>
    <row r="22" spans="2:8" ht="15.6">
      <c r="B22" s="89">
        <v>2</v>
      </c>
      <c r="C22" s="318" t="s">
        <v>160</v>
      </c>
      <c r="D22" s="319"/>
      <c r="E22" s="319"/>
      <c r="F22" s="319"/>
      <c r="G22" s="319"/>
      <c r="H22" s="320"/>
    </row>
    <row r="23" spans="2:8" ht="15.6">
      <c r="B23" s="89">
        <v>3</v>
      </c>
      <c r="C23" s="321"/>
      <c r="D23" s="319"/>
      <c r="E23" s="319"/>
      <c r="F23" s="319"/>
      <c r="G23" s="319"/>
      <c r="H23" s="320"/>
    </row>
    <row r="24" spans="2:8" ht="16.2" thickBot="1">
      <c r="B24" s="89">
        <v>4</v>
      </c>
      <c r="C24" s="321"/>
      <c r="D24" s="319"/>
      <c r="E24" s="319"/>
      <c r="F24" s="319"/>
      <c r="G24" s="319"/>
      <c r="H24" s="320"/>
    </row>
    <row r="25" spans="2:8" ht="15.6">
      <c r="B25" s="94" t="s">
        <v>96</v>
      </c>
      <c r="C25" s="357" t="s">
        <v>106</v>
      </c>
      <c r="D25" s="358"/>
      <c r="E25" s="358"/>
      <c r="F25" s="358"/>
      <c r="G25" s="358"/>
      <c r="H25" s="359"/>
    </row>
    <row r="26" spans="2:8" ht="15" customHeight="1">
      <c r="B26" s="89">
        <v>1</v>
      </c>
      <c r="C26" s="321"/>
      <c r="D26" s="319"/>
      <c r="E26" s="319"/>
      <c r="F26" s="319"/>
      <c r="G26" s="319"/>
      <c r="H26" s="320"/>
    </row>
    <row r="27" spans="2:8" ht="15" customHeight="1">
      <c r="B27" s="89">
        <v>2</v>
      </c>
      <c r="C27" s="321"/>
      <c r="D27" s="319"/>
      <c r="E27" s="319"/>
      <c r="F27" s="319"/>
      <c r="G27" s="319"/>
      <c r="H27" s="320"/>
    </row>
    <row r="28" spans="2:8" ht="15" customHeight="1">
      <c r="B28" s="89">
        <v>3</v>
      </c>
      <c r="C28" s="321"/>
      <c r="D28" s="319"/>
      <c r="E28" s="319"/>
      <c r="F28" s="319"/>
      <c r="G28" s="319"/>
      <c r="H28" s="320"/>
    </row>
    <row r="29" spans="2:8" ht="15.6">
      <c r="B29" s="89">
        <v>4</v>
      </c>
      <c r="C29" s="351"/>
      <c r="D29" s="352"/>
      <c r="E29" s="352"/>
      <c r="F29" s="352"/>
      <c r="G29" s="352"/>
      <c r="H29" s="353"/>
    </row>
    <row r="30" spans="2:8" ht="16.2" thickBot="1">
      <c r="B30" s="95">
        <v>5</v>
      </c>
      <c r="C30" s="354"/>
      <c r="D30" s="355"/>
      <c r="E30" s="355"/>
      <c r="F30" s="355"/>
      <c r="G30" s="355"/>
      <c r="H30" s="356"/>
    </row>
    <row r="31" spans="2:8" ht="6" customHeight="1"/>
    <row r="32" spans="2:8" ht="30.75" customHeight="1">
      <c r="B32" s="100" t="s">
        <v>130</v>
      </c>
      <c r="C32" s="315"/>
      <c r="D32" s="316"/>
      <c r="E32" s="316"/>
      <c r="F32" s="316"/>
      <c r="G32" s="317"/>
      <c r="H32" s="101" t="s">
        <v>125</v>
      </c>
    </row>
    <row r="33" spans="2:8" ht="4.5" customHeight="1">
      <c r="G33" s="77"/>
    </row>
    <row r="34" spans="2:8" ht="27.6">
      <c r="B34" s="100" t="s">
        <v>134</v>
      </c>
      <c r="C34" s="315"/>
      <c r="D34" s="316"/>
      <c r="E34" s="316"/>
      <c r="F34" s="316"/>
      <c r="G34" s="316"/>
      <c r="H34" s="317"/>
    </row>
    <row r="35" spans="2:8" ht="3.75" customHeight="1"/>
    <row r="36" spans="2:8" ht="41.4">
      <c r="B36" s="100" t="s">
        <v>132</v>
      </c>
      <c r="C36" s="315"/>
      <c r="D36" s="316"/>
      <c r="E36" s="316"/>
      <c r="F36" s="316"/>
      <c r="G36" s="317"/>
      <c r="H36" s="101" t="s">
        <v>125</v>
      </c>
    </row>
    <row r="37" spans="2:8" ht="5.25" customHeight="1"/>
    <row r="38" spans="2:8" ht="40.5" customHeight="1">
      <c r="B38" s="101" t="s">
        <v>129</v>
      </c>
      <c r="C38" s="315"/>
      <c r="D38" s="316"/>
      <c r="E38" s="316"/>
      <c r="F38" s="316"/>
      <c r="G38" s="316"/>
      <c r="H38" s="317"/>
    </row>
    <row r="39" spans="2:8" ht="5.25" customHeight="1"/>
    <row r="40" spans="2:8" ht="22.5" customHeight="1">
      <c r="B40" s="101" t="s">
        <v>131</v>
      </c>
      <c r="C40" s="315"/>
      <c r="D40" s="316"/>
      <c r="E40" s="316"/>
      <c r="F40" s="316"/>
      <c r="G40" s="317"/>
      <c r="H40" s="101" t="s">
        <v>125</v>
      </c>
    </row>
    <row r="47" spans="2:8">
      <c r="C47" s="78" t="s">
        <v>168</v>
      </c>
    </row>
  </sheetData>
  <mergeCells count="36">
    <mergeCell ref="C28:H28"/>
    <mergeCell ref="C29:H29"/>
    <mergeCell ref="C30:H30"/>
    <mergeCell ref="C22:H22"/>
    <mergeCell ref="C23:H23"/>
    <mergeCell ref="C24:H24"/>
    <mergeCell ref="C27:H27"/>
    <mergeCell ref="C26:H26"/>
    <mergeCell ref="C25:H25"/>
    <mergeCell ref="B2:H2"/>
    <mergeCell ref="D3:E3"/>
    <mergeCell ref="D4:E4"/>
    <mergeCell ref="C12:H12"/>
    <mergeCell ref="C13:H13"/>
    <mergeCell ref="C10:H10"/>
    <mergeCell ref="C11:H11"/>
    <mergeCell ref="D9:H9"/>
    <mergeCell ref="C21:H21"/>
    <mergeCell ref="C14:H14"/>
    <mergeCell ref="C5:H5"/>
    <mergeCell ref="F3:G3"/>
    <mergeCell ref="F4:G4"/>
    <mergeCell ref="C15:H15"/>
    <mergeCell ref="C18:H18"/>
    <mergeCell ref="C16:H16"/>
    <mergeCell ref="C17:H17"/>
    <mergeCell ref="C19:H19"/>
    <mergeCell ref="C20:H20"/>
    <mergeCell ref="D6:H6"/>
    <mergeCell ref="D7:H7"/>
    <mergeCell ref="D8:H8"/>
    <mergeCell ref="C40:G40"/>
    <mergeCell ref="C32:G32"/>
    <mergeCell ref="C34:H34"/>
    <mergeCell ref="C36:G36"/>
    <mergeCell ref="C38:H38"/>
  </mergeCells>
  <printOptions horizontalCentered="1"/>
  <pageMargins left="0.25" right="0.25" top="0.75" bottom="0.5" header="0.3" footer="0.3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Apprisal Working Sheet</vt:lpstr>
      <vt:lpstr>Start of the year Smart Goals</vt:lpstr>
      <vt:lpstr>Appraisal Rating</vt:lpstr>
      <vt:lpstr>Yearly Feedback Closer Doc. </vt:lpstr>
      <vt:lpstr>'Appraisal Rating'!Print_Area</vt:lpstr>
      <vt:lpstr>'Apprisal Working Sheet'!Print_Area</vt:lpstr>
      <vt:lpstr>'Start of the year Smart Goals'!Print_Area</vt:lpstr>
    </vt:vector>
  </TitlesOfParts>
  <Company>Fallon-Clinic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Fallon-Clinic</dc:creator>
  <cp:lastModifiedBy>L1-IT</cp:lastModifiedBy>
  <cp:lastPrinted>2026-07-09T12:29:39Z</cp:lastPrinted>
  <dcterms:created xsi:type="dcterms:W3CDTF">2003-11-04T15:27:40Z</dcterms:created>
  <dcterms:modified xsi:type="dcterms:W3CDTF">2026-07-09T12:35:08Z</dcterms:modified>
</cp:coreProperties>
</file>